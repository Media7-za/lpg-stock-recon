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&quot;#,##0.00;[RED]-&quot;R&quot;#,##0.00"/>
    <numFmt numFmtId="165" formatCode="yyyy-mm-dd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1F4E78"/>
      <sz val="11"/>
    </font>
    <font>
      <name val="Arial"/>
      <i val="1"/>
      <color rgb="00555555"/>
      <sz val="10"/>
    </font>
    <font>
      <name val="Arial"/>
      <i val="1"/>
      <color rgb="00555555"/>
      <sz val="9"/>
    </font>
    <font>
      <name val="Arial"/>
      <b val="1"/>
      <sz val="11"/>
    </font>
    <font>
      <name val="Arial"/>
      <sz val="10"/>
    </font>
    <font>
      <name val="Arial"/>
      <b val="1"/>
      <color rgb="000000FF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164" fontId="7" fillId="2" borderId="1" pivotButton="0" quotePrefix="0" xfId="0"/>
    <xf numFmtId="164" fontId="0" fillId="2" borderId="1" pivotButton="0" quotePrefix="0" xfId="0"/>
    <xf numFmtId="0" fontId="8" fillId="2" borderId="1" pivotButton="0" quotePrefix="0" xfId="0"/>
    <xf numFmtId="164" fontId="8" fillId="2" borderId="1" pivotButton="0" quotePrefix="0" xfId="0"/>
    <xf numFmtId="0" fontId="4" fillId="0" borderId="0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165" fontId="6" fillId="0" borderId="1" pivotButton="0" quotePrefix="0" xfId="0"/>
    <xf numFmtId="0" fontId="6" fillId="0" borderId="1" pivotButton="0" quotePrefix="0" xfId="0"/>
    <xf numFmtId="164" fontId="10" fillId="0" borderId="1" pivotButton="0" quotePrefix="0" xfId="0"/>
    <xf numFmtId="164" fontId="0" fillId="0" borderId="1" pivotButton="0" quotePrefix="0" xfId="0"/>
    <xf numFmtId="0" fontId="9" fillId="3" borderId="1" pivotButton="0" quotePrefix="0" xfId="0"/>
    <xf numFmtId="0" fontId="9" fillId="3" borderId="0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WEST COAST FISH &amp; CHIPS — Statement of Account</t>
        </is>
      </c>
    </row>
    <row r="2">
      <c r="A2" s="2" t="inlineStr">
        <is>
          <t>Last 3 Months Movement (Combined Account: WES004 + WES002)</t>
        </is>
      </c>
    </row>
    <row r="3">
      <c r="A3" s="3" t="inlineStr">
        <is>
          <t>Period: 16 June 2026 → 16 September 2026   |   Compiled: 2026-09-16</t>
        </is>
      </c>
    </row>
    <row r="4">
      <c r="A4" s="4" t="inlineStr">
        <is>
          <t>Source: WES004_WES002_COMBINED16092026.TXT (merged WES002CURRENT16092026.TXT + WES004CURRENT16092026.TXT ERP account enquiries)</t>
        </is>
      </c>
    </row>
    <row r="6">
      <c r="A6" s="5" t="inlineStr">
        <is>
          <t>Summary</t>
        </is>
      </c>
    </row>
    <row r="7">
      <c r="A7" s="6" t="inlineStr">
        <is>
          <t>Opening balance (15 Jun 2026 close)</t>
        </is>
      </c>
      <c r="B7" s="7" t="n">
        <v>25036.85</v>
      </c>
    </row>
    <row r="8">
      <c r="A8" s="6" t="inlineStr">
        <is>
          <t>Movement this period (see detail below)</t>
        </is>
      </c>
      <c r="B8" s="8">
        <f>SUM(E15:E25)</f>
        <v/>
      </c>
    </row>
    <row r="9">
      <c r="A9" s="9" t="inlineStr">
        <is>
          <t>Closing balance (as at export)</t>
        </is>
      </c>
      <c r="B9" s="10">
        <f>F25</f>
        <v/>
      </c>
    </row>
    <row r="12">
      <c r="A12" s="5" t="inlineStr">
        <is>
          <t>Transaction Movement (16 Jun 2026 – 16 Sep 2026)</t>
        </is>
      </c>
    </row>
    <row r="13">
      <c r="A13" s="11" t="inlineStr">
        <is>
          <t>Cylinder-deposit invoice/credit-note pairs that net to zero have been stripped from this view per business_rules.md Rule 11 -- zero impact on the closing balance.</t>
        </is>
      </c>
    </row>
    <row r="14">
      <c r="A14" s="12" t="inlineStr">
        <is>
          <t>Date</t>
        </is>
      </c>
      <c r="B14" s="12" t="inlineStr">
        <is>
          <t>Doc No</t>
        </is>
      </c>
      <c r="C14" s="12" t="inlineStr">
        <is>
          <t>Type</t>
        </is>
      </c>
      <c r="D14" s="12" t="inlineStr">
        <is>
          <t>Reference</t>
        </is>
      </c>
      <c r="E14" s="12" t="inlineStr">
        <is>
          <t>Amount</t>
        </is>
      </c>
      <c r="F14" s="12" t="inlineStr">
        <is>
          <t>Balance</t>
        </is>
      </c>
    </row>
    <row r="15">
      <c r="A15" s="13" t="n">
        <v>46205</v>
      </c>
      <c r="B15" s="14" t="inlineStr">
        <is>
          <t>00051544</t>
        </is>
      </c>
      <c r="C15" s="14" t="inlineStr">
        <is>
          <t>Invoice</t>
        </is>
      </c>
      <c r="D15" s="14" t="inlineStr">
        <is>
          <t>DN#22540=TOWN BUSH</t>
        </is>
      </c>
      <c r="E15" s="15" t="n">
        <v>3255.08</v>
      </c>
      <c r="F15" s="16">
        <f>B7+E15</f>
        <v/>
      </c>
    </row>
    <row r="16">
      <c r="A16" s="13" t="n">
        <v>46218</v>
      </c>
      <c r="B16" s="14" t="inlineStr">
        <is>
          <t>00051858</t>
        </is>
      </c>
      <c r="C16" s="14" t="inlineStr">
        <is>
          <t>Invoice</t>
        </is>
      </c>
      <c r="D16" s="14" t="inlineStr"/>
      <c r="E16" s="15" t="n">
        <v>3255.08</v>
      </c>
      <c r="F16" s="16">
        <f>F15+E16</f>
        <v/>
      </c>
    </row>
    <row r="17">
      <c r="A17" s="13" t="n">
        <v>46223</v>
      </c>
      <c r="B17" s="14" t="inlineStr">
        <is>
          <t>00045326</t>
        </is>
      </c>
      <c r="C17" s="14" t="inlineStr">
        <is>
          <t>Payment</t>
        </is>
      </c>
      <c r="D17" s="14" t="inlineStr">
        <is>
          <t>TRANSF | STAT 128</t>
        </is>
      </c>
      <c r="E17" s="15" t="n">
        <v>-5000</v>
      </c>
      <c r="F17" s="16">
        <f>F16+E17</f>
        <v/>
      </c>
    </row>
    <row r="18">
      <c r="A18" s="13" t="n">
        <v>46224</v>
      </c>
      <c r="B18" s="14" t="inlineStr">
        <is>
          <t>00051994</t>
        </is>
      </c>
      <c r="C18" s="14" t="inlineStr">
        <is>
          <t>Invoice</t>
        </is>
      </c>
      <c r="D18" s="14" t="inlineStr">
        <is>
          <t>DN#22837</t>
        </is>
      </c>
      <c r="E18" s="15" t="n">
        <v>3255.08</v>
      </c>
      <c r="F18" s="16">
        <f>F17+E18</f>
        <v/>
      </c>
    </row>
    <row r="19">
      <c r="A19" s="13" t="n">
        <v>46232</v>
      </c>
      <c r="B19" s="14" t="inlineStr">
        <is>
          <t>00045469</t>
        </is>
      </c>
      <c r="C19" s="14" t="inlineStr">
        <is>
          <t>Payment</t>
        </is>
      </c>
      <c r="D19" s="14" t="inlineStr">
        <is>
          <t>TRANSF | STAT 128</t>
        </is>
      </c>
      <c r="E19" s="15" t="n">
        <v>-5000</v>
      </c>
      <c r="F19" s="16">
        <f>F18+E19</f>
        <v/>
      </c>
    </row>
    <row r="20">
      <c r="A20" s="13" t="n">
        <v>46233</v>
      </c>
      <c r="B20" s="14" t="inlineStr">
        <is>
          <t>00052199</t>
        </is>
      </c>
      <c r="C20" s="14" t="inlineStr">
        <is>
          <t>Invoice</t>
        </is>
      </c>
      <c r="D20" s="14" t="inlineStr">
        <is>
          <t>DN#23925</t>
        </is>
      </c>
      <c r="E20" s="15" t="n">
        <v>3255.08</v>
      </c>
      <c r="F20" s="16">
        <f>F19+E20</f>
        <v/>
      </c>
    </row>
    <row r="21">
      <c r="A21" s="13" t="n">
        <v>46253</v>
      </c>
      <c r="B21" s="14" t="inlineStr">
        <is>
          <t>00052652</t>
        </is>
      </c>
      <c r="C21" s="14" t="inlineStr">
        <is>
          <t>Invoice</t>
        </is>
      </c>
      <c r="D21" s="14" t="inlineStr">
        <is>
          <t>DN#24278</t>
        </is>
      </c>
      <c r="E21" s="15" t="n">
        <v>3096.28</v>
      </c>
      <c r="F21" s="16">
        <f>F20+E21</f>
        <v/>
      </c>
    </row>
    <row r="22">
      <c r="A22" s="13" t="n">
        <v>46253</v>
      </c>
      <c r="B22" s="14" t="inlineStr">
        <is>
          <t>00052667</t>
        </is>
      </c>
      <c r="C22" s="14" t="inlineStr">
        <is>
          <t>Invoice</t>
        </is>
      </c>
      <c r="D22" s="14" t="inlineStr">
        <is>
          <t>DN#22885</t>
        </is>
      </c>
      <c r="E22" s="15" t="n">
        <v>1448.14</v>
      </c>
      <c r="F22" s="16">
        <f>F21+E22</f>
        <v/>
      </c>
    </row>
    <row r="23">
      <c r="A23" s="13" t="n">
        <v>46261</v>
      </c>
      <c r="B23" s="14" t="inlineStr">
        <is>
          <t>00045929</t>
        </is>
      </c>
      <c r="C23" s="14" t="inlineStr">
        <is>
          <t>Payment</t>
        </is>
      </c>
      <c r="D23" s="14" t="inlineStr">
        <is>
          <t>TRANSF | STAT 129</t>
        </is>
      </c>
      <c r="E23" s="15" t="n">
        <v>-2800</v>
      </c>
      <c r="F23" s="16">
        <f>F22+E23</f>
        <v/>
      </c>
    </row>
    <row r="24">
      <c r="A24" s="13" t="n">
        <v>46265</v>
      </c>
      <c r="B24" s="14" t="inlineStr">
        <is>
          <t>00052881</t>
        </is>
      </c>
      <c r="C24" s="14" t="inlineStr">
        <is>
          <t>Invoice</t>
        </is>
      </c>
      <c r="D24" s="14" t="inlineStr">
        <is>
          <t>DN#23991</t>
        </is>
      </c>
      <c r="E24" s="15" t="n">
        <v>2896.28</v>
      </c>
      <c r="F24" s="16">
        <f>F23+E24</f>
        <v/>
      </c>
    </row>
    <row r="25">
      <c r="A25" s="13" t="n">
        <v>46269</v>
      </c>
      <c r="B25" s="14" t="inlineStr">
        <is>
          <t>00046010</t>
        </is>
      </c>
      <c r="C25" s="14" t="inlineStr">
        <is>
          <t>Payment</t>
        </is>
      </c>
      <c r="D25" s="14" t="inlineStr">
        <is>
          <t>TRANSF | STAT 130</t>
        </is>
      </c>
      <c r="E25" s="15" t="n">
        <v>-3000</v>
      </c>
      <c r="F25" s="16">
        <f>F24+E25</f>
        <v/>
      </c>
    </row>
    <row r="27">
      <c r="A27" s="5" t="inlineStr">
        <is>
          <t>Movement Breakdown</t>
        </is>
      </c>
    </row>
    <row r="28">
      <c r="A28" s="17" t="inlineStr">
        <is>
          <t>Category</t>
        </is>
      </c>
      <c r="B28" s="17" t="inlineStr">
        <is>
          <t>Count</t>
        </is>
      </c>
      <c r="C28" s="17" t="inlineStr">
        <is>
          <t>Amount</t>
        </is>
      </c>
      <c r="D28" s="18" t="inlineStr"/>
      <c r="E28" s="18" t="inlineStr"/>
      <c r="F28" s="18" t="inlineStr"/>
    </row>
    <row r="29">
      <c r="A29" s="14" t="inlineStr">
        <is>
          <t>Invoices</t>
        </is>
      </c>
      <c r="B29" s="14">
        <f>COUNTIF(C15:C25,"Invoice")</f>
        <v/>
      </c>
      <c r="C29" s="16">
        <f>SUMIF(C15:C25,"Invoice",E15:E25)</f>
        <v/>
      </c>
    </row>
    <row r="30">
      <c r="A30" s="14" t="inlineStr">
        <is>
          <t>Credit Notes</t>
        </is>
      </c>
      <c r="B30" s="14">
        <f>COUNTIF(C15:C25,"Crd Note")</f>
        <v/>
      </c>
      <c r="C30" s="16">
        <f>SUMIF(C15:C25,"Crd Note",E15:E25)</f>
        <v/>
      </c>
    </row>
    <row r="31">
      <c r="A31" s="14" t="inlineStr">
        <is>
          <t>Payments</t>
        </is>
      </c>
      <c r="B31" s="14">
        <f>COUNTIF(C15:C25,"Payment")</f>
        <v/>
      </c>
      <c r="C31" s="16">
        <f>SUMIF(C15:C25,"Payment",E15:E25)</f>
        <v/>
      </c>
    </row>
    <row r="32">
      <c r="A32" s="9" t="inlineStr">
        <is>
          <t>Net Movement</t>
        </is>
      </c>
      <c r="B32" s="19" t="n"/>
      <c r="C32" s="10">
        <f>SUM(C29:C31)</f>
        <v/>
      </c>
    </row>
    <row r="35">
      <c r="A35" s="5" t="inlineStr">
        <is>
          <t>Reconciliation Sign-off</t>
        </is>
      </c>
    </row>
    <row r="36">
      <c r="A36" s="17" t="inlineStr">
        <is>
          <t>Check</t>
        </is>
      </c>
      <c r="B36" s="17" t="inlineStr">
        <is>
          <t>Result</t>
        </is>
      </c>
    </row>
    <row r="37">
      <c r="A37" s="14" t="inlineStr">
        <is>
          <t>Combined closing balance (ledger running total)</t>
        </is>
      </c>
      <c r="B37" s="16">
        <f>B9</f>
        <v/>
      </c>
    </row>
    <row r="38">
      <c r="A38" s="14" t="inlineStr">
        <is>
          <t>Combined ERP stated balance (WES002 R7,443.73 + WES004 R22,254.14)</t>
        </is>
      </c>
      <c r="B38" s="15" t="n">
        <v>29697.87</v>
      </c>
    </row>
    <row r="39">
      <c r="A39" s="9" t="inlineStr">
        <is>
          <t>Variance</t>
        </is>
      </c>
      <c r="B39" s="10">
        <f>B37-B38</f>
        <v/>
      </c>
    </row>
    <row r="41">
      <c r="A41" s="11" t="inlineStr">
        <is>
          <t>Source: WES004_WES002_COMBINED16092026.TXT, built from WES002CURRENT16092026.TXT and WES004CURRENT16092026.TXT ERP account-enquiry exports. Blue cells are figures taken directly from the ERP source; black cells are formulas. Combined collectable balance confirmed by operator 2026-09-16 (see project.json).</t>
        </is>
      </c>
    </row>
  </sheetData>
  <mergeCells count="10">
    <mergeCell ref="A41:F41"/>
    <mergeCell ref="A2:F2"/>
    <mergeCell ref="A13:F13"/>
    <mergeCell ref="A1:F1"/>
    <mergeCell ref="A27:F27"/>
    <mergeCell ref="A12:F12"/>
    <mergeCell ref="A4:F4"/>
    <mergeCell ref="A35:F35"/>
    <mergeCell ref="A3:F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2026-09-16T12:58:56Z</dcterms:created>
  <dcterms:modified xsi:type="dcterms:W3CDTF">2026-09-16T12:58:56Z</dcterms:modified>
</cp:coreProperties>
</file>