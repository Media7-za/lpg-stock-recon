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5" documentId="8_{2BA81599-2CD2-48E6-838C-5506FC2E5D9E}" xr6:coauthVersionLast="47" xr6:coauthVersionMax="47" xr10:uidLastSave="{76DA794B-7042-45B9-BB0D-C282C401FF93}"/>
  <bookViews>
    <workbookView xWindow="16284" yWindow="-108" windowWidth="23256" windowHeight="12456" xr2:uid="{945BE1A9-CCA5-401D-ABB9-F1C5091D2107}"/>
  </bookViews>
  <sheets>
    <sheet name="Accounts Payable Allocations_20" sheetId="1" r:id="rId1"/>
  </sheets>
  <calcPr calcId="191029"/>
</workbook>
</file>

<file path=xl/calcChain.xml><?xml version="1.0" encoding="utf-8"?>
<calcChain xmlns="http://schemas.openxmlformats.org/spreadsheetml/2006/main">
  <c r="G17" i="1" l="1"/>
  <c r="F16" i="1"/>
  <c r="G16" i="1"/>
</calcChain>
</file>

<file path=xl/sharedStrings.xml><?xml version="1.0" encoding="utf-8"?>
<sst xmlns="http://schemas.openxmlformats.org/spreadsheetml/2006/main" count="46" uniqueCount="27">
  <si>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</si>
  <si>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</si>
  <si>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</si>
  <si>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</si>
  <si>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</si>
  <si>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</si>
  <si>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</si>
  <si>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</si>
  <si>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</si>
  <si>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</si>
  <si>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</si>
  <si>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</si>
  <si>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</si>
  <si>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</si>
  <si>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</si>
  <si>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04/11/2023</t>
  </si>
  <si>
    <t>IN</t>
  </si>
  <si>
    <t>FUNCTIONS 66235</t>
  </si>
  <si>
    <t>14/11/2023</t>
  </si>
  <si>
    <t>HILTON 71142</t>
  </si>
  <si>
    <t>15/11/2023</t>
  </si>
  <si>
    <t>THE VILLAGE 74030</t>
  </si>
  <si>
    <t>16/11/2023</t>
  </si>
  <si>
    <t>09/.11/2024</t>
  </si>
  <si>
    <t>CN</t>
  </si>
  <si>
    <t>PYT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</si>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</sst>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10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4" fontId="6" fillId="2" borderId="0" xfId="0" applyNumberFormat="1" applyFont="1" applyFill="1" applyAlignment="1" applyProtection="1">
      <alignment horizontal="right" vertical="top"/>
      <protection locked="0"/>
    </xf>
    <xf numFmtId="2" fontId="0" fillId="0" borderId="0" xfId="0" applyNumberFormat="1"/>
    <xf numFmtId="0" fontId="7" fillId="0" borderId="0" xfId="0" applyFont="1" applyFill="1" applyAlignment="1" applyProtection="1">
      <alignment horizontal="right" vertical="top"/>
      <protection locked="0"/>
    </xf>
    <xf numFmtId="2" fontId="8" fillId="0" borderId="0" xfId="0" applyNumberFormat="1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1" fontId="6" fillId="2" borderId="0" xfId="0" applyNumberFormat="1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4" fontId="7" fillId="0" borderId="0" xfId="0" applyNumberFormat="1" applyFont="1" applyFill="1" applyAlignment="1" applyProtection="1">
      <alignment horizontal="left" vertical="top"/>
      <protection locked="0"/>
    </xf>
    <xf numFmtId="2" fontId="9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DD32-2C70-4ADE-B5BA-D9FEC5A125F6}">
  <dimension ref="A1:G21"/>
  <sheetViews>
    <sheetView tabSelected="1" workbookViewId="0">
      <selection activeCell="N21" sqref="N21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18">
        <v>45611</v>
      </c>
      <c r="B8" s="17" t="s">
        <v>14</v>
      </c>
      <c r="C8" s="17" t="s">
        <v>24</v>
      </c>
      <c r="D8" s="17">
        <v>26616</v>
      </c>
      <c r="E8" s="17"/>
      <c r="F8" s="12">
        <v>1196</v>
      </c>
      <c r="G8" s="14">
        <v>0</v>
      </c>
    </row>
    <row r="9" spans="1:7" x14ac:dyDescent="0.2">
      <c r="A9" s="17" t="s">
        <v>23</v>
      </c>
      <c r="B9" s="17" t="s">
        <v>14</v>
      </c>
      <c r="C9" s="17" t="s">
        <v>16</v>
      </c>
      <c r="D9" s="17">
        <v>26407</v>
      </c>
      <c r="E9" s="5"/>
      <c r="F9" s="14">
        <v>0</v>
      </c>
      <c r="G9" s="12">
        <v>2344.6</v>
      </c>
    </row>
    <row r="10" spans="1:7" x14ac:dyDescent="0.2">
      <c r="A10" s="7" t="s">
        <v>15</v>
      </c>
      <c r="B10" s="7" t="s">
        <v>14</v>
      </c>
      <c r="C10" s="7" t="s">
        <v>16</v>
      </c>
      <c r="D10" s="15">
        <v>26259</v>
      </c>
      <c r="E10" s="7" t="s">
        <v>17</v>
      </c>
      <c r="F10" s="8">
        <v>0</v>
      </c>
      <c r="G10" s="10">
        <v>1153.3</v>
      </c>
    </row>
    <row r="11" spans="1:7" x14ac:dyDescent="0.2">
      <c r="A11" s="7" t="s">
        <v>15</v>
      </c>
      <c r="B11" s="7" t="s">
        <v>14</v>
      </c>
      <c r="C11" s="7" t="s">
        <v>16</v>
      </c>
      <c r="D11" s="15">
        <v>26257</v>
      </c>
      <c r="E11" s="7" t="s">
        <v>17</v>
      </c>
      <c r="F11" s="8">
        <v>0</v>
      </c>
      <c r="G11" s="10">
        <v>2344.6</v>
      </c>
    </row>
    <row r="12" spans="1:7" x14ac:dyDescent="0.2">
      <c r="A12" s="7" t="s">
        <v>18</v>
      </c>
      <c r="B12" s="7" t="s">
        <v>14</v>
      </c>
      <c r="C12" s="7" t="s">
        <v>16</v>
      </c>
      <c r="D12" s="15">
        <v>26615</v>
      </c>
      <c r="E12" s="7" t="s">
        <v>19</v>
      </c>
      <c r="F12" s="8">
        <v>0</v>
      </c>
      <c r="G12" s="10">
        <v>4442.3999999999996</v>
      </c>
    </row>
    <row r="13" spans="1:7" x14ac:dyDescent="0.2">
      <c r="A13" s="7" t="s">
        <v>20</v>
      </c>
      <c r="B13" s="7" t="s">
        <v>14</v>
      </c>
      <c r="C13" s="7" t="s">
        <v>16</v>
      </c>
      <c r="D13" s="15">
        <v>26569</v>
      </c>
      <c r="E13" s="7" t="s">
        <v>19</v>
      </c>
      <c r="F13" s="8">
        <v>0</v>
      </c>
      <c r="G13" s="10">
        <v>4442.3999999999996</v>
      </c>
    </row>
    <row r="14" spans="1:7" x14ac:dyDescent="0.2">
      <c r="A14" s="7" t="s">
        <v>15</v>
      </c>
      <c r="B14" s="7" t="s">
        <v>14</v>
      </c>
      <c r="C14" s="7" t="s">
        <v>16</v>
      </c>
      <c r="D14" s="15">
        <v>26253</v>
      </c>
      <c r="E14" s="7" t="s">
        <v>21</v>
      </c>
      <c r="F14" s="8">
        <v>0</v>
      </c>
      <c r="G14" s="10">
        <v>2961.6</v>
      </c>
    </row>
    <row r="15" spans="1:7" x14ac:dyDescent="0.2">
      <c r="A15" s="7" t="s">
        <v>22</v>
      </c>
      <c r="B15" s="7" t="s">
        <v>14</v>
      </c>
      <c r="C15" s="7" t="s">
        <v>16</v>
      </c>
      <c r="D15" s="15">
        <v>26624</v>
      </c>
      <c r="E15" s="7" t="s">
        <v>21</v>
      </c>
      <c r="F15" s="8">
        <v>0</v>
      </c>
      <c r="G15" s="9">
        <v>2961.6</v>
      </c>
    </row>
    <row r="16" spans="1:7" x14ac:dyDescent="0.2">
      <c r="F16" s="8">
        <f>SUM(F7:F15)</f>
        <v>1196</v>
      </c>
      <c r="G16">
        <f>SUM(G7:G15)</f>
        <v>20650.499999999996</v>
      </c>
    </row>
    <row r="17" spans="4:7" x14ac:dyDescent="0.2">
      <c r="D17" s="20"/>
      <c r="E17" s="16" t="s">
        <v>26</v>
      </c>
      <c r="F17" s="13" t="s">
        <v>25</v>
      </c>
      <c r="G17" s="19">
        <f>G16-F16</f>
        <v>19454.499999999996</v>
      </c>
    </row>
    <row r="18" spans="4:7" x14ac:dyDescent="0.2">
      <c r="F18" s="8"/>
    </row>
    <row r="19" spans="4:7" x14ac:dyDescent="0.2">
      <c r="F19" s="8"/>
    </row>
    <row r="20" spans="4:7" x14ac:dyDescent="0.2">
      <c r="F20" s="11"/>
    </row>
    <row r="21" spans="4:7" x14ac:dyDescent="0.2">
      <c r="G21" s="1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2025-01-27T10:00:50Z</dcterms:created>
  <dcterms:modified xsi:type="dcterms:W3CDTF">2025-01-27T10:01:21Z</dcterms:modified>
</cp:coreProperties>
</file>