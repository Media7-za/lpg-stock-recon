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b402192-my.sharepoint.com/personal/phindile_capitolcaterers_co_za/Documents/Desktop/"/>
    </mc:Choice>
  </mc:AlternateContent>
  <xr:revisionPtr revIDLastSave="0" documentId="8_{3660384A-A649-4798-8C03-4D1D6A821882}" xr6:coauthVersionLast="47" xr6:coauthVersionMax="47" xr10:uidLastSave="{00000000-0000-0000-0000-000000000000}"/>
  <bookViews>
    <workbookView xWindow="16284" yWindow="-108" windowWidth="23256" windowHeight="12456" xr2:uid="{03747A02-30D4-4E77-9690-C75E49761B5E}"/>
  </bookViews>
  <sheets>
    <sheet name="Accounts Payable Allocations_20" sheetId="1" r:id="rId1"/>
  </sheets>
  <calcPr calcId="191029"/>
</workbook>
</file>

<file path=xl/calcChain.xml><?xml version="1.0" encoding="utf-8"?>
<calcChain xmlns="http://schemas.openxmlformats.org/spreadsheetml/2006/main">
  <c r="G33" i="1" l="1"/>
  <c r="G39" i="1"/>
  <c r="G46" i="1"/>
  <c r="G54" i="1" s="1"/>
  <c r="G80" i="1"/>
  <c r="G91" i="1"/>
  <c r="G96" i="1"/>
  <c r="G103" i="1"/>
  <c r="G121" i="1"/>
  <c r="G114" i="1"/>
  <c r="G126" i="1"/>
  <c r="G62" i="1"/>
  <c r="G71" i="1"/>
  <c r="G13" i="1"/>
  <c r="G21" i="1"/>
</calcChain>
</file>

<file path=xl/sharedStrings.xml><?xml version="1.0" encoding="utf-8"?>
<sst xmlns="http://schemas.openxmlformats.org/spreadsheetml/2006/main" count="385" uniqueCount="152">
  <si>
    <t>Accounts Payable Allocations</t>
  </si>
  <si>
    <t>CAPITOL CATERERS SELECT (PTY) LTD</t>
  </si>
  <si>
    <t>Supplier:</t>
  </si>
  <si>
    <t>MIDLANDS PETROLEUM</t>
  </si>
  <si>
    <t>Date:</t>
  </si>
  <si>
    <t>Name:</t>
  </si>
  <si>
    <t>BELLA ENERGY SERVICES 300 TA MIDLANDS PETROLEUM</t>
  </si>
  <si>
    <t>Date</t>
  </si>
  <si>
    <t>Age</t>
  </si>
  <si>
    <t>Code</t>
  </si>
  <si>
    <t>Reference</t>
  </si>
  <si>
    <t>Description</t>
  </si>
  <si>
    <t>Debit</t>
  </si>
  <si>
    <t>Credit</t>
  </si>
  <si>
    <t>180 Days</t>
  </si>
  <si>
    <t>IN</t>
  </si>
  <si>
    <t>01/01/2024</t>
  </si>
  <si>
    <t>CONFIRMED INVOCIES</t>
  </si>
  <si>
    <t>CN</t>
  </si>
  <si>
    <t>CONFIRMED INVOICES</t>
  </si>
  <si>
    <t>09/01/2024</t>
  </si>
  <si>
    <t>CONFIRMED INVOICE</t>
  </si>
  <si>
    <t>26/01/2024</t>
  </si>
  <si>
    <t>01/02/2024</t>
  </si>
  <si>
    <t>ADJ</t>
  </si>
  <si>
    <t>ADJ TO STMNT</t>
  </si>
  <si>
    <t>06/02/2024</t>
  </si>
  <si>
    <t>HILTON 71170</t>
  </si>
  <si>
    <t>10/02/2024</t>
  </si>
  <si>
    <t>FUNCTIONS 66157</t>
  </si>
  <si>
    <t>13/02/2024</t>
  </si>
  <si>
    <t>23/02/2024</t>
  </si>
  <si>
    <t>THE VILLAGE 74088</t>
  </si>
  <si>
    <t>04/03/2024</t>
  </si>
  <si>
    <t>08/03/2024</t>
  </si>
  <si>
    <t>THE VILLAGE 74054</t>
  </si>
  <si>
    <t>11/03/2024</t>
  </si>
  <si>
    <t>DS</t>
  </si>
  <si>
    <t xml:space="preserve">ADJ TO STATEMENT </t>
  </si>
  <si>
    <t xml:space="preserve">ADJ </t>
  </si>
  <si>
    <t>HILTON COLLEGE 71190</t>
  </si>
  <si>
    <t>ADJ TO STATEMENT</t>
  </si>
  <si>
    <t>27/03/2024</t>
  </si>
  <si>
    <t>HILTON COLLEGE 71196</t>
  </si>
  <si>
    <t>28/03/2024</t>
  </si>
  <si>
    <t>02/04/2024</t>
  </si>
  <si>
    <t>JC</t>
  </si>
  <si>
    <t>FUNCTIONS 66175</t>
  </si>
  <si>
    <t>18/04/2024</t>
  </si>
  <si>
    <t>FUNCTIONS 66177</t>
  </si>
  <si>
    <t>30/04/2024</t>
  </si>
  <si>
    <t>01/05/2024</t>
  </si>
  <si>
    <t>adj</t>
  </si>
  <si>
    <t>adj to statement</t>
  </si>
  <si>
    <t>06/05/2024</t>
  </si>
  <si>
    <t>CONFIRMED MHA</t>
  </si>
  <si>
    <t>07/05/2024</t>
  </si>
  <si>
    <t>HILTON COLLEGE 71212</t>
  </si>
  <si>
    <t>10/05/2024</t>
  </si>
  <si>
    <t>THE VILLAGE 74066</t>
  </si>
  <si>
    <t>25/05/2024</t>
  </si>
  <si>
    <t>28/05/2024</t>
  </si>
  <si>
    <t>HILTON COLLEGE 71220</t>
  </si>
  <si>
    <t>30/05/2024</t>
  </si>
  <si>
    <t>FUNCTIONS 66186</t>
  </si>
  <si>
    <t>01/06/2024</t>
  </si>
  <si>
    <t>03/06/2024</t>
  </si>
  <si>
    <t>FUNCTIONS 66202</t>
  </si>
  <si>
    <t>10/06/2024</t>
  </si>
  <si>
    <t>THE VILLAGE 74072</t>
  </si>
  <si>
    <t>12/06/2024</t>
  </si>
  <si>
    <t>HILTON COLLEGE 71233</t>
  </si>
  <si>
    <t>13/06/2024</t>
  </si>
  <si>
    <t>FUNCTIONS 66200</t>
  </si>
  <si>
    <t>14/06/2024</t>
  </si>
  <si>
    <t>FUNCTIONS  66203</t>
  </si>
  <si>
    <t>05/07/2024</t>
  </si>
  <si>
    <t>THE VILLAGE 74093</t>
  </si>
  <si>
    <t>08/07/2024</t>
  </si>
  <si>
    <t>FUNCTIONS 66216</t>
  </si>
  <si>
    <t>17/07/2024</t>
  </si>
  <si>
    <t>HILTON 71241</t>
  </si>
  <si>
    <t>18/07/2024</t>
  </si>
  <si>
    <t>30/07/2024</t>
  </si>
  <si>
    <t>FUNCTIONS 66217</t>
  </si>
  <si>
    <t>31/07/2024</t>
  </si>
  <si>
    <t>HILTON COLLEGE 71246</t>
  </si>
  <si>
    <t>37476...</t>
  </si>
  <si>
    <t>06/08/2024</t>
  </si>
  <si>
    <t>THE VILLAGE 74098</t>
  </si>
  <si>
    <t>14/08/2024</t>
  </si>
  <si>
    <t>HILTON COLLEGE 2006</t>
  </si>
  <si>
    <t>19/08/2024</t>
  </si>
  <si>
    <t>22/08/2024</t>
  </si>
  <si>
    <t>28/08/2024</t>
  </si>
  <si>
    <t>01/09/2024</t>
  </si>
  <si>
    <t>03/09/2024</t>
  </si>
  <si>
    <t>HILTON COLLEGE 2017</t>
  </si>
  <si>
    <t>10/09/2024</t>
  </si>
  <si>
    <t>THE VILLAGE 74103</t>
  </si>
  <si>
    <t>11/09/2024</t>
  </si>
  <si>
    <t>FUNCTIONS 66238</t>
  </si>
  <si>
    <t>13/09/2024</t>
  </si>
  <si>
    <t>HILTON COLLEGE 2021</t>
  </si>
  <si>
    <t>21/09/2024</t>
  </si>
  <si>
    <t>27/09/2024</t>
  </si>
  <si>
    <t>30/09/2024</t>
  </si>
  <si>
    <t>FUNCTIONS 66239</t>
  </si>
  <si>
    <t>01/10/2024</t>
  </si>
  <si>
    <t>HILTON COLLEGE 2030</t>
  </si>
  <si>
    <t>02/10/2024</t>
  </si>
  <si>
    <t>THE VILLAGE 74112</t>
  </si>
  <si>
    <t>04/10/2024</t>
  </si>
  <si>
    <t>16/10/2024</t>
  </si>
  <si>
    <t>FUNCTIONS 66250</t>
  </si>
  <si>
    <t>23/10/2024</t>
  </si>
  <si>
    <t>HILTON COLLEGE 2042</t>
  </si>
  <si>
    <t>26/10/2024</t>
  </si>
  <si>
    <t>05/11/2024</t>
  </si>
  <si>
    <t>HILTON 2046</t>
  </si>
  <si>
    <t>11/11/2024</t>
  </si>
  <si>
    <t>THE VILLAGE 74117</t>
  </si>
  <si>
    <t>18/11/2024</t>
  </si>
  <si>
    <t>HILTON 2054</t>
  </si>
  <si>
    <t>27/11/2024</t>
  </si>
  <si>
    <t>01/12/2024</t>
  </si>
  <si>
    <t>150 Days</t>
  </si>
  <si>
    <t>THE VILLAGE 74122</t>
  </si>
  <si>
    <t>14/12/2024</t>
  </si>
  <si>
    <t>01/01/2025</t>
  </si>
  <si>
    <t>120 Days</t>
  </si>
  <si>
    <t>THE VILLAGE 74134</t>
  </si>
  <si>
    <t>02/01/2025</t>
  </si>
  <si>
    <t>FUNCTIONS 66274</t>
  </si>
  <si>
    <t>06/01/2025</t>
  </si>
  <si>
    <t>20/01/2025</t>
  </si>
  <si>
    <t>21/01/2025</t>
  </si>
  <si>
    <t>03/02/2025</t>
  </si>
  <si>
    <t>90 Days</t>
  </si>
  <si>
    <t>HILTON COLLEGE 2074</t>
  </si>
  <si>
    <t>07/02/2025</t>
  </si>
  <si>
    <t>THE VILLAGE 74139</t>
  </si>
  <si>
    <t>11/02/2025</t>
  </si>
  <si>
    <t>FUNCTIONS 66286</t>
  </si>
  <si>
    <t>HILTON 2078</t>
  </si>
  <si>
    <t>19/02/2025</t>
  </si>
  <si>
    <t>60 Days</t>
  </si>
  <si>
    <t>07/03/2025</t>
  </si>
  <si>
    <t>HILTON COLLEGE 2091</t>
  </si>
  <si>
    <t>10/03/2025</t>
  </si>
  <si>
    <t>THE VILLAGE 74144</t>
  </si>
  <si>
    <t>27/03/2025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</si>
</sst>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3" formatCode="00,000.00"/>
    <numFmt numFmtId="174" formatCode="0,000.00"/>
    <numFmt numFmtId="175" formatCode="00000."/>
    <numFmt numFmtId="176" formatCode="00.00"/>
    <numFmt numFmtId="177" formatCode="000.00"/>
  </numFmts>
  <fonts count="7" x14ac:knownFonts="1">
    <font>
      <sz val="10"/>
      <color indexed="8"/>
      <name val="Arial"/>
    </font>
    <font>
      <b/>
      <sz val="18"/>
      <color indexed="18"/>
      <name val="Arial"/>
    </font>
    <font>
      <sz val="14"/>
      <color indexed="8"/>
      <name val="Arial"/>
    </font>
    <font>
      <sz val="8"/>
      <color indexed="23"/>
      <name val="Arial"/>
    </font>
    <font>
      <b/>
      <sz val="9"/>
      <color indexed="8"/>
      <name val="Arial"/>
    </font>
    <font>
      <b/>
      <u/>
      <sz val="8"/>
      <color indexed="8"/>
      <name val="Arial"/>
    </font>
    <font>
      <sz val="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Fill="1" applyAlignment="1" applyProtection="1">
      <alignment horizontal="center" vertical="top"/>
      <protection locked="0"/>
    </xf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0" fontId="5" fillId="0" borderId="0" xfId="0" applyFont="1" applyFill="1" applyAlignment="1" applyProtection="1">
      <alignment horizontal="right" vertical="top"/>
      <protection locked="0"/>
    </xf>
    <xf numFmtId="0" fontId="6" fillId="0" borderId="0" xfId="0" applyFont="1" applyFill="1" applyAlignment="1" applyProtection="1">
      <alignment horizontal="left" vertical="top"/>
      <protection locked="0"/>
    </xf>
    <xf numFmtId="173" fontId="6" fillId="0" borderId="0" xfId="0" applyNumberFormat="1" applyFont="1" applyFill="1" applyAlignment="1" applyProtection="1">
      <alignment horizontal="right" vertical="top"/>
      <protection locked="0"/>
    </xf>
    <xf numFmtId="1" fontId="6" fillId="0" borderId="0" xfId="0" applyNumberFormat="1" applyFont="1" applyFill="1" applyAlignment="1" applyProtection="1">
      <alignment horizontal="left" vertical="top"/>
      <protection locked="0"/>
    </xf>
    <xf numFmtId="2" fontId="6" fillId="0" borderId="0" xfId="0" applyNumberFormat="1" applyFont="1" applyFill="1" applyAlignment="1" applyProtection="1">
      <alignment horizontal="right" vertical="top"/>
      <protection locked="0"/>
    </xf>
    <xf numFmtId="174" fontId="6" fillId="0" borderId="0" xfId="0" applyNumberFormat="1" applyFont="1" applyFill="1" applyAlignment="1" applyProtection="1">
      <alignment horizontal="right" vertical="top"/>
      <protection locked="0"/>
    </xf>
    <xf numFmtId="175" fontId="6" fillId="0" borderId="0" xfId="0" applyNumberFormat="1" applyFont="1" applyFill="1" applyAlignment="1" applyProtection="1">
      <alignment horizontal="left" vertical="top"/>
      <protection locked="0"/>
    </xf>
    <xf numFmtId="176" fontId="6" fillId="0" borderId="0" xfId="0" applyNumberFormat="1" applyFont="1" applyFill="1" applyAlignment="1" applyProtection="1">
      <alignment horizontal="right" vertical="top"/>
      <protection locked="0"/>
    </xf>
    <xf numFmtId="177" fontId="6" fillId="0" borderId="0" xfId="0" applyNumberFormat="1" applyFont="1" applyFill="1" applyAlignment="1" applyProtection="1">
      <alignment horizontal="righ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0F09F-29F5-4D70-9F0F-9791619786F6}">
  <dimension ref="A1:G127"/>
  <sheetViews>
    <sheetView tabSelected="1" workbookViewId="0">
      <selection activeCell="I15" sqref="I15"/>
    </sheetView>
  </sheetViews>
  <sheetFormatPr defaultRowHeight="12.75" x14ac:dyDescent="0.2"/>
  <sheetData>
    <row r="1" spans="1:7" ht="23.25" x14ac:dyDescent="0.2">
      <c r="C1" s="1" t="s">
        <v>0</v>
      </c>
    </row>
    <row r="2" spans="1:7" ht="18" x14ac:dyDescent="0.2">
      <c r="A2" s="2" t="s">
        <v>1</v>
      </c>
    </row>
    <row r="3" spans="1:7" x14ac:dyDescent="0.2">
      <c r="A3" s="3" t="s">
        <v>0</v>
      </c>
    </row>
    <row r="4" spans="1:7" x14ac:dyDescent="0.2">
      <c r="A4" s="4" t="s">
        <v>2</v>
      </c>
      <c r="B4" s="4" t="s">
        <v>3</v>
      </c>
      <c r="G4" s="4" t="s">
        <v>4</v>
      </c>
    </row>
    <row r="5" spans="1:7" x14ac:dyDescent="0.2">
      <c r="A5" s="4" t="s">
        <v>5</v>
      </c>
      <c r="B5" s="4" t="s">
        <v>6</v>
      </c>
    </row>
    <row r="6" spans="1:7" x14ac:dyDescent="0.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6" t="s">
        <v>12</v>
      </c>
      <c r="G6" s="6" t="s">
        <v>13</v>
      </c>
    </row>
    <row r="7" spans="1:7" x14ac:dyDescent="0.2">
      <c r="A7" s="5"/>
      <c r="B7" s="5"/>
      <c r="C7" s="5"/>
      <c r="D7" s="5"/>
      <c r="E7" s="5"/>
      <c r="F7" s="6"/>
      <c r="G7" s="6"/>
    </row>
    <row r="8" spans="1:7" x14ac:dyDescent="0.2">
      <c r="A8" s="7" t="s">
        <v>16</v>
      </c>
      <c r="B8" s="7" t="s">
        <v>14</v>
      </c>
      <c r="C8" s="7" t="s">
        <v>15</v>
      </c>
      <c r="D8" s="12">
        <v>27614</v>
      </c>
      <c r="E8" s="7" t="s">
        <v>17</v>
      </c>
      <c r="F8" s="10">
        <v>0</v>
      </c>
      <c r="G8" s="11">
        <v>3070.09</v>
      </c>
    </row>
    <row r="9" spans="1:7" x14ac:dyDescent="0.2">
      <c r="A9" s="7" t="s">
        <v>16</v>
      </c>
      <c r="B9" s="7" t="s">
        <v>14</v>
      </c>
      <c r="C9" s="7" t="s">
        <v>15</v>
      </c>
      <c r="D9" s="9">
        <v>28189</v>
      </c>
      <c r="E9" s="7" t="s">
        <v>19</v>
      </c>
      <c r="F9" s="10">
        <v>0</v>
      </c>
      <c r="G9" s="11">
        <v>3070.11</v>
      </c>
    </row>
    <row r="10" spans="1:7" x14ac:dyDescent="0.2">
      <c r="A10" s="7" t="s">
        <v>16</v>
      </c>
      <c r="B10" s="7" t="s">
        <v>14</v>
      </c>
      <c r="C10" s="7" t="s">
        <v>15</v>
      </c>
      <c r="D10" s="9">
        <v>28614</v>
      </c>
      <c r="E10" s="7" t="s">
        <v>19</v>
      </c>
      <c r="F10" s="10">
        <v>0</v>
      </c>
      <c r="G10" s="11">
        <v>3079.72</v>
      </c>
    </row>
    <row r="11" spans="1:7" x14ac:dyDescent="0.2">
      <c r="A11" s="7" t="s">
        <v>20</v>
      </c>
      <c r="B11" s="7" t="s">
        <v>14</v>
      </c>
      <c r="C11" s="7" t="s">
        <v>15</v>
      </c>
      <c r="D11" s="9">
        <v>28470</v>
      </c>
      <c r="E11" s="7" t="s">
        <v>21</v>
      </c>
      <c r="F11" s="10">
        <v>0</v>
      </c>
      <c r="G11" s="11">
        <v>2437.91</v>
      </c>
    </row>
    <row r="12" spans="1:7" x14ac:dyDescent="0.2">
      <c r="A12" s="7" t="s">
        <v>22</v>
      </c>
      <c r="B12" s="7" t="s">
        <v>14</v>
      </c>
      <c r="C12" s="7" t="s">
        <v>15</v>
      </c>
      <c r="D12" s="9">
        <v>28995</v>
      </c>
      <c r="E12" s="7" t="s">
        <v>21</v>
      </c>
      <c r="F12" s="10">
        <v>0</v>
      </c>
      <c r="G12" s="11">
        <v>2437.7199999999998</v>
      </c>
    </row>
    <row r="13" spans="1:7" x14ac:dyDescent="0.2">
      <c r="A13" s="7"/>
      <c r="B13" s="7"/>
      <c r="C13" s="7"/>
      <c r="D13" s="7"/>
      <c r="E13" s="7"/>
      <c r="F13" s="11"/>
      <c r="G13" s="10">
        <f>SUM(G7:G12)</f>
        <v>14095.55</v>
      </c>
    </row>
    <row r="14" spans="1:7" x14ac:dyDescent="0.2">
      <c r="A14" s="7"/>
      <c r="B14" s="7"/>
      <c r="C14" s="7"/>
      <c r="D14" s="7"/>
      <c r="E14" s="7"/>
      <c r="F14" s="11"/>
      <c r="G14" s="10"/>
    </row>
    <row r="15" spans="1:7" x14ac:dyDescent="0.2">
      <c r="A15" s="7" t="s">
        <v>23</v>
      </c>
      <c r="B15" s="7" t="s">
        <v>14</v>
      </c>
      <c r="C15" s="7" t="s">
        <v>15</v>
      </c>
      <c r="D15" s="7" t="s">
        <v>24</v>
      </c>
      <c r="E15" s="7" t="s">
        <v>25</v>
      </c>
      <c r="F15" s="10">
        <v>0</v>
      </c>
      <c r="G15" s="13">
        <v>45</v>
      </c>
    </row>
    <row r="16" spans="1:7" x14ac:dyDescent="0.2">
      <c r="A16" s="7" t="s">
        <v>26</v>
      </c>
      <c r="B16" s="7" t="s">
        <v>14</v>
      </c>
      <c r="C16" s="7" t="s">
        <v>15</v>
      </c>
      <c r="D16" s="9">
        <v>29303</v>
      </c>
      <c r="E16" s="7" t="s">
        <v>27</v>
      </c>
      <c r="F16" s="10">
        <v>0</v>
      </c>
      <c r="G16" s="11">
        <v>4618.8599999999997</v>
      </c>
    </row>
    <row r="17" spans="1:7" x14ac:dyDescent="0.2">
      <c r="A17" s="7" t="s">
        <v>28</v>
      </c>
      <c r="B17" s="7" t="s">
        <v>14</v>
      </c>
      <c r="C17" s="7" t="s">
        <v>15</v>
      </c>
      <c r="D17" s="9">
        <v>29457</v>
      </c>
      <c r="E17" s="7" t="s">
        <v>29</v>
      </c>
      <c r="F17" s="10">
        <v>0</v>
      </c>
      <c r="G17" s="11">
        <v>3114.75</v>
      </c>
    </row>
    <row r="18" spans="1:7" x14ac:dyDescent="0.2">
      <c r="A18" s="7" t="s">
        <v>30</v>
      </c>
      <c r="B18" s="7" t="s">
        <v>14</v>
      </c>
      <c r="C18" s="7" t="s">
        <v>15</v>
      </c>
      <c r="D18" s="9">
        <v>29537</v>
      </c>
      <c r="E18" s="7" t="s">
        <v>21</v>
      </c>
      <c r="F18" s="10">
        <v>0</v>
      </c>
      <c r="G18" s="11">
        <v>2465.83</v>
      </c>
    </row>
    <row r="19" spans="1:7" x14ac:dyDescent="0.2">
      <c r="A19" s="7" t="s">
        <v>30</v>
      </c>
      <c r="B19" s="7" t="s">
        <v>14</v>
      </c>
      <c r="C19" s="7" t="s">
        <v>15</v>
      </c>
      <c r="D19" s="9">
        <v>29535</v>
      </c>
      <c r="E19" s="7" t="s">
        <v>21</v>
      </c>
      <c r="F19" s="10">
        <v>0</v>
      </c>
      <c r="G19" s="11">
        <v>1232.9100000000001</v>
      </c>
    </row>
    <row r="20" spans="1:7" x14ac:dyDescent="0.2">
      <c r="A20" s="7" t="s">
        <v>31</v>
      </c>
      <c r="B20" s="7" t="s">
        <v>14</v>
      </c>
      <c r="C20" s="7" t="s">
        <v>15</v>
      </c>
      <c r="D20" s="9">
        <v>29</v>
      </c>
      <c r="E20" s="7" t="s">
        <v>32</v>
      </c>
      <c r="F20" s="10">
        <v>0</v>
      </c>
      <c r="G20" s="11">
        <v>3114.73</v>
      </c>
    </row>
    <row r="21" spans="1:7" x14ac:dyDescent="0.2">
      <c r="A21" s="7"/>
      <c r="B21" s="7"/>
      <c r="C21" s="7"/>
      <c r="D21" s="9"/>
      <c r="E21" s="7"/>
      <c r="F21" s="10"/>
      <c r="G21" s="11">
        <f>SUM(G14:G20)</f>
        <v>14592.079999999998</v>
      </c>
    </row>
    <row r="22" spans="1:7" x14ac:dyDescent="0.2">
      <c r="A22" s="7"/>
      <c r="B22" s="7"/>
      <c r="C22" s="7"/>
      <c r="D22" s="9"/>
      <c r="E22" s="7"/>
      <c r="F22" s="10"/>
      <c r="G22" s="11"/>
    </row>
    <row r="23" spans="1:7" x14ac:dyDescent="0.2">
      <c r="A23" s="7" t="s">
        <v>33</v>
      </c>
      <c r="B23" s="7" t="s">
        <v>14</v>
      </c>
      <c r="C23" s="7" t="s">
        <v>15</v>
      </c>
      <c r="D23" s="9">
        <v>30098</v>
      </c>
      <c r="E23" s="7" t="s">
        <v>21</v>
      </c>
      <c r="F23" s="10">
        <v>0</v>
      </c>
      <c r="G23" s="11">
        <v>2465.83</v>
      </c>
    </row>
    <row r="24" spans="1:7" x14ac:dyDescent="0.2">
      <c r="A24" s="7" t="s">
        <v>34</v>
      </c>
      <c r="B24" s="7" t="s">
        <v>14</v>
      </c>
      <c r="C24" s="7" t="s">
        <v>15</v>
      </c>
      <c r="D24" s="9">
        <v>30228</v>
      </c>
      <c r="E24" s="7" t="s">
        <v>35</v>
      </c>
      <c r="F24" s="10">
        <v>0</v>
      </c>
      <c r="G24" s="11">
        <v>3145.83</v>
      </c>
    </row>
    <row r="25" spans="1:7" x14ac:dyDescent="0.2">
      <c r="A25" s="7" t="s">
        <v>36</v>
      </c>
      <c r="B25" s="7" t="s">
        <v>14</v>
      </c>
      <c r="C25" s="7" t="s">
        <v>37</v>
      </c>
      <c r="D25" s="7" t="s">
        <v>24</v>
      </c>
      <c r="E25" s="7" t="s">
        <v>38</v>
      </c>
      <c r="F25" s="10">
        <v>0.01</v>
      </c>
      <c r="G25" s="10">
        <v>0</v>
      </c>
    </row>
    <row r="26" spans="1:7" x14ac:dyDescent="0.2">
      <c r="A26" s="7" t="s">
        <v>36</v>
      </c>
      <c r="B26" s="7" t="s">
        <v>14</v>
      </c>
      <c r="C26" s="7" t="s">
        <v>15</v>
      </c>
      <c r="D26" s="7" t="s">
        <v>39</v>
      </c>
      <c r="E26" s="7" t="s">
        <v>38</v>
      </c>
      <c r="F26" s="10">
        <v>0</v>
      </c>
      <c r="G26" s="10">
        <v>0.01</v>
      </c>
    </row>
    <row r="27" spans="1:7" x14ac:dyDescent="0.2">
      <c r="A27" s="7" t="s">
        <v>36</v>
      </c>
      <c r="B27" s="7" t="s">
        <v>14</v>
      </c>
      <c r="C27" s="7" t="s">
        <v>15</v>
      </c>
      <c r="D27" s="9">
        <v>30302</v>
      </c>
      <c r="E27" s="7" t="s">
        <v>40</v>
      </c>
      <c r="F27" s="10">
        <v>0</v>
      </c>
      <c r="G27" s="11">
        <v>9437.48</v>
      </c>
    </row>
    <row r="28" spans="1:7" x14ac:dyDescent="0.2">
      <c r="A28" s="7" t="s">
        <v>36</v>
      </c>
      <c r="B28" s="7" t="s">
        <v>14</v>
      </c>
      <c r="C28" s="7" t="s">
        <v>37</v>
      </c>
      <c r="D28" s="7" t="s">
        <v>24</v>
      </c>
      <c r="E28" s="7" t="s">
        <v>41</v>
      </c>
      <c r="F28" s="10">
        <v>0.01</v>
      </c>
      <c r="G28" s="10">
        <v>0</v>
      </c>
    </row>
    <row r="29" spans="1:7" x14ac:dyDescent="0.2">
      <c r="A29" s="7" t="s">
        <v>42</v>
      </c>
      <c r="B29" s="7" t="s">
        <v>14</v>
      </c>
      <c r="C29" s="7" t="s">
        <v>15</v>
      </c>
      <c r="D29" s="9">
        <v>30780</v>
      </c>
      <c r="E29" s="7" t="s">
        <v>43</v>
      </c>
      <c r="F29" s="10">
        <v>0</v>
      </c>
      <c r="G29" s="11">
        <v>4718.74</v>
      </c>
    </row>
    <row r="30" spans="1:7" x14ac:dyDescent="0.2">
      <c r="A30" s="7" t="s">
        <v>44</v>
      </c>
      <c r="B30" s="7" t="s">
        <v>14</v>
      </c>
      <c r="C30" s="7" t="s">
        <v>15</v>
      </c>
      <c r="D30" s="9">
        <v>30813</v>
      </c>
      <c r="E30" s="7" t="s">
        <v>35</v>
      </c>
      <c r="F30" s="10">
        <v>0</v>
      </c>
      <c r="G30" s="11">
        <v>3145.83</v>
      </c>
    </row>
    <row r="31" spans="1:7" x14ac:dyDescent="0.2">
      <c r="A31" s="7" t="s">
        <v>45</v>
      </c>
      <c r="B31" s="7" t="s">
        <v>14</v>
      </c>
      <c r="C31" s="7" t="s">
        <v>46</v>
      </c>
      <c r="D31" s="12">
        <v>30887</v>
      </c>
      <c r="E31" s="7" t="s">
        <v>47</v>
      </c>
      <c r="F31" s="10">
        <v>0</v>
      </c>
      <c r="G31" s="11">
        <v>2785.36</v>
      </c>
    </row>
    <row r="32" spans="1:7" x14ac:dyDescent="0.2">
      <c r="A32" s="7" t="s">
        <v>48</v>
      </c>
      <c r="B32" s="7" t="s">
        <v>14</v>
      </c>
      <c r="C32" s="7" t="s">
        <v>15</v>
      </c>
      <c r="D32" s="9">
        <v>31398</v>
      </c>
      <c r="E32" s="7" t="s">
        <v>49</v>
      </c>
      <c r="F32" s="10">
        <v>0</v>
      </c>
      <c r="G32" s="11">
        <v>2478.1999999999998</v>
      </c>
    </row>
    <row r="33" spans="1:7" x14ac:dyDescent="0.2">
      <c r="A33" s="7" t="s">
        <v>50</v>
      </c>
      <c r="B33" s="7" t="s">
        <v>14</v>
      </c>
      <c r="C33" s="7" t="s">
        <v>15</v>
      </c>
      <c r="D33" s="7" t="s">
        <v>24</v>
      </c>
      <c r="E33" s="7" t="s">
        <v>41</v>
      </c>
      <c r="F33" s="10">
        <v>0</v>
      </c>
      <c r="G33" s="10">
        <f>SUM(G22:G32)</f>
        <v>28177.280000000002</v>
      </c>
    </row>
    <row r="34" spans="1:7" x14ac:dyDescent="0.2">
      <c r="A34" s="7"/>
      <c r="B34" s="7"/>
      <c r="C34" s="7"/>
      <c r="D34" s="7"/>
      <c r="E34" s="7"/>
      <c r="F34" s="10"/>
      <c r="G34" s="10"/>
    </row>
    <row r="35" spans="1:7" x14ac:dyDescent="0.2">
      <c r="A35" s="7"/>
      <c r="B35" s="7"/>
      <c r="C35" s="7"/>
      <c r="D35" s="7"/>
      <c r="E35" s="7"/>
      <c r="F35" s="10"/>
      <c r="G35" s="10"/>
    </row>
    <row r="36" spans="1:7" x14ac:dyDescent="0.2">
      <c r="A36" s="7" t="s">
        <v>51</v>
      </c>
      <c r="B36" s="7" t="s">
        <v>14</v>
      </c>
      <c r="C36" s="7" t="s">
        <v>18</v>
      </c>
      <c r="D36" s="7" t="s">
        <v>52</v>
      </c>
      <c r="E36" s="7" t="s">
        <v>53</v>
      </c>
      <c r="F36" s="10">
        <v>9.3000000000000007</v>
      </c>
      <c r="G36" s="10">
        <v>0</v>
      </c>
    </row>
    <row r="37" spans="1:7" x14ac:dyDescent="0.2">
      <c r="A37" s="7" t="s">
        <v>54</v>
      </c>
      <c r="B37" s="7" t="s">
        <v>14</v>
      </c>
      <c r="C37" s="7" t="s">
        <v>15</v>
      </c>
      <c r="D37" s="9">
        <v>31899</v>
      </c>
      <c r="E37" s="7" t="s">
        <v>55</v>
      </c>
      <c r="F37" s="10">
        <v>0</v>
      </c>
      <c r="G37" s="14">
        <v>619.54999999999995</v>
      </c>
    </row>
    <row r="38" spans="1:7" x14ac:dyDescent="0.2">
      <c r="A38" s="7" t="s">
        <v>56</v>
      </c>
      <c r="B38" s="7" t="s">
        <v>14</v>
      </c>
      <c r="C38" s="7" t="s">
        <v>15</v>
      </c>
      <c r="D38" s="9">
        <v>8348</v>
      </c>
      <c r="E38" s="7" t="s">
        <v>57</v>
      </c>
      <c r="F38" s="10">
        <v>0</v>
      </c>
      <c r="G38" s="11">
        <v>4648.3900000000003</v>
      </c>
    </row>
    <row r="39" spans="1:7" x14ac:dyDescent="0.2">
      <c r="A39" s="7"/>
      <c r="B39" s="7"/>
      <c r="C39" s="7"/>
      <c r="D39" s="9"/>
      <c r="E39" s="7"/>
      <c r="F39" s="10"/>
      <c r="G39" s="11">
        <f>SUM(G35:G38)</f>
        <v>5267.9400000000005</v>
      </c>
    </row>
    <row r="40" spans="1:7" x14ac:dyDescent="0.2">
      <c r="A40" s="7"/>
      <c r="B40" s="7"/>
      <c r="C40" s="7"/>
      <c r="D40" s="9"/>
      <c r="E40" s="7"/>
      <c r="F40" s="10"/>
      <c r="G40" s="11"/>
    </row>
    <row r="41" spans="1:7" x14ac:dyDescent="0.2">
      <c r="A41" s="7" t="s">
        <v>58</v>
      </c>
      <c r="B41" s="7" t="s">
        <v>14</v>
      </c>
      <c r="C41" s="7" t="s">
        <v>15</v>
      </c>
      <c r="D41" s="9">
        <v>32040</v>
      </c>
      <c r="E41" s="7" t="s">
        <v>59</v>
      </c>
      <c r="F41" s="10">
        <v>0</v>
      </c>
      <c r="G41" s="11">
        <v>3092.93</v>
      </c>
    </row>
    <row r="42" spans="1:7" x14ac:dyDescent="0.2">
      <c r="A42" s="7" t="s">
        <v>60</v>
      </c>
      <c r="B42" s="7" t="s">
        <v>14</v>
      </c>
      <c r="C42" s="7" t="s">
        <v>15</v>
      </c>
      <c r="D42" s="9">
        <v>32455</v>
      </c>
      <c r="E42" s="7" t="s">
        <v>59</v>
      </c>
      <c r="F42" s="10">
        <v>0</v>
      </c>
      <c r="G42" s="11">
        <v>3092.93</v>
      </c>
    </row>
    <row r="43" spans="1:7" x14ac:dyDescent="0.2">
      <c r="A43" s="7" t="s">
        <v>61</v>
      </c>
      <c r="B43" s="7" t="s">
        <v>14</v>
      </c>
      <c r="C43" s="7" t="s">
        <v>15</v>
      </c>
      <c r="D43" s="9">
        <v>32539</v>
      </c>
      <c r="E43" s="7" t="s">
        <v>62</v>
      </c>
      <c r="F43" s="10">
        <v>0</v>
      </c>
      <c r="G43" s="11">
        <v>4639.3900000000003</v>
      </c>
    </row>
    <row r="44" spans="1:7" x14ac:dyDescent="0.2">
      <c r="A44" s="7" t="s">
        <v>61</v>
      </c>
      <c r="B44" s="7" t="s">
        <v>14</v>
      </c>
      <c r="C44" s="7" t="s">
        <v>15</v>
      </c>
      <c r="D44" s="9">
        <v>32510</v>
      </c>
      <c r="E44" s="7" t="s">
        <v>55</v>
      </c>
      <c r="F44" s="10">
        <v>0</v>
      </c>
      <c r="G44" s="14">
        <v>612.14</v>
      </c>
    </row>
    <row r="45" spans="1:7" x14ac:dyDescent="0.2">
      <c r="A45" s="7" t="s">
        <v>63</v>
      </c>
      <c r="B45" s="7" t="s">
        <v>14</v>
      </c>
      <c r="C45" s="7" t="s">
        <v>15</v>
      </c>
      <c r="D45" s="9">
        <v>32122</v>
      </c>
      <c r="E45" s="7" t="s">
        <v>64</v>
      </c>
      <c r="F45" s="10">
        <v>0</v>
      </c>
      <c r="G45" s="11">
        <v>2448.58</v>
      </c>
    </row>
    <row r="46" spans="1:7" x14ac:dyDescent="0.2">
      <c r="A46" s="7"/>
      <c r="B46" s="7"/>
      <c r="C46" s="7"/>
      <c r="D46" s="9"/>
      <c r="E46" s="7"/>
      <c r="F46" s="10"/>
      <c r="G46" s="11">
        <f>SUM(G40:G45)</f>
        <v>13885.97</v>
      </c>
    </row>
    <row r="47" spans="1:7" x14ac:dyDescent="0.2">
      <c r="A47" s="7"/>
      <c r="B47" s="7"/>
      <c r="C47" s="7"/>
      <c r="D47" s="9"/>
      <c r="E47" s="7"/>
      <c r="F47" s="10"/>
      <c r="G47" s="11"/>
    </row>
    <row r="48" spans="1:7" x14ac:dyDescent="0.2">
      <c r="A48" s="7" t="s">
        <v>65</v>
      </c>
      <c r="B48" s="7" t="s">
        <v>14</v>
      </c>
      <c r="C48" s="7" t="s">
        <v>15</v>
      </c>
      <c r="D48" s="7" t="s">
        <v>24</v>
      </c>
      <c r="E48" s="7" t="s">
        <v>41</v>
      </c>
      <c r="F48" s="10">
        <v>0</v>
      </c>
      <c r="G48" s="10">
        <v>0.32</v>
      </c>
    </row>
    <row r="49" spans="1:7" x14ac:dyDescent="0.2">
      <c r="A49" s="7" t="s">
        <v>66</v>
      </c>
      <c r="B49" s="7" t="s">
        <v>14</v>
      </c>
      <c r="C49" s="7" t="s">
        <v>15</v>
      </c>
      <c r="D49" s="9">
        <v>32676</v>
      </c>
      <c r="E49" s="7" t="s">
        <v>67</v>
      </c>
      <c r="F49" s="10">
        <v>0</v>
      </c>
      <c r="G49" s="11">
        <v>2448.58</v>
      </c>
    </row>
    <row r="50" spans="1:7" x14ac:dyDescent="0.2">
      <c r="A50" s="7" t="s">
        <v>68</v>
      </c>
      <c r="B50" s="7" t="s">
        <v>14</v>
      </c>
      <c r="C50" s="7" t="s">
        <v>15</v>
      </c>
      <c r="D50" s="9">
        <v>32942</v>
      </c>
      <c r="E50" s="7" t="s">
        <v>69</v>
      </c>
      <c r="F50" s="10">
        <v>0</v>
      </c>
      <c r="G50" s="11">
        <v>2980.59</v>
      </c>
    </row>
    <row r="51" spans="1:7" x14ac:dyDescent="0.2">
      <c r="A51" s="7" t="s">
        <v>70</v>
      </c>
      <c r="B51" s="7" t="s">
        <v>14</v>
      </c>
      <c r="C51" s="7" t="s">
        <v>15</v>
      </c>
      <c r="D51" s="9">
        <v>33007</v>
      </c>
      <c r="E51" s="7" t="s">
        <v>71</v>
      </c>
      <c r="F51" s="10">
        <v>0</v>
      </c>
      <c r="G51" s="11">
        <v>4470.8900000000003</v>
      </c>
    </row>
    <row r="52" spans="1:7" x14ac:dyDescent="0.2">
      <c r="A52" s="7" t="s">
        <v>72</v>
      </c>
      <c r="B52" s="7" t="s">
        <v>14</v>
      </c>
      <c r="C52" s="7" t="s">
        <v>15</v>
      </c>
      <c r="D52" s="9">
        <v>9087</v>
      </c>
      <c r="E52" s="7" t="s">
        <v>73</v>
      </c>
      <c r="F52" s="10">
        <v>0</v>
      </c>
      <c r="G52" s="11">
        <v>2359.62</v>
      </c>
    </row>
    <row r="53" spans="1:7" x14ac:dyDescent="0.2">
      <c r="A53" s="7" t="s">
        <v>74</v>
      </c>
      <c r="B53" s="7" t="s">
        <v>14</v>
      </c>
      <c r="C53" s="7" t="s">
        <v>15</v>
      </c>
      <c r="D53" s="9">
        <v>33114</v>
      </c>
      <c r="E53" s="7" t="s">
        <v>75</v>
      </c>
      <c r="F53" s="10">
        <v>0</v>
      </c>
      <c r="G53" s="11">
        <v>2359.62</v>
      </c>
    </row>
    <row r="54" spans="1:7" x14ac:dyDescent="0.2">
      <c r="A54" s="7"/>
      <c r="B54" s="7"/>
      <c r="C54" s="7"/>
      <c r="D54" s="9"/>
      <c r="E54" s="7"/>
      <c r="F54" s="10"/>
      <c r="G54" s="11">
        <f>SUM(G40:G53)</f>
        <v>42391.56</v>
      </c>
    </row>
    <row r="55" spans="1:7" x14ac:dyDescent="0.2">
      <c r="A55" s="7"/>
      <c r="B55" s="7"/>
      <c r="C55" s="7"/>
      <c r="D55" s="9"/>
      <c r="E55" s="7"/>
      <c r="F55" s="10"/>
      <c r="G55" s="11"/>
    </row>
    <row r="56" spans="1:7" x14ac:dyDescent="0.2">
      <c r="A56" s="7" t="s">
        <v>76</v>
      </c>
      <c r="B56" s="7" t="s">
        <v>14</v>
      </c>
      <c r="C56" s="7" t="s">
        <v>15</v>
      </c>
      <c r="D56" s="9">
        <v>33818</v>
      </c>
      <c r="E56" s="7" t="s">
        <v>77</v>
      </c>
      <c r="F56" s="10">
        <v>0</v>
      </c>
      <c r="G56" s="11">
        <v>2980.59</v>
      </c>
    </row>
    <row r="57" spans="1:7" x14ac:dyDescent="0.2">
      <c r="A57" s="7" t="s">
        <v>78</v>
      </c>
      <c r="B57" s="7" t="s">
        <v>14</v>
      </c>
      <c r="C57" s="7" t="s">
        <v>15</v>
      </c>
      <c r="D57" s="9">
        <v>33960</v>
      </c>
      <c r="E57" s="7" t="s">
        <v>79</v>
      </c>
      <c r="F57" s="10">
        <v>0</v>
      </c>
      <c r="G57" s="11">
        <v>2283.0500000000002</v>
      </c>
    </row>
    <row r="58" spans="1:7" x14ac:dyDescent="0.2">
      <c r="A58" s="7" t="s">
        <v>80</v>
      </c>
      <c r="B58" s="7" t="s">
        <v>14</v>
      </c>
      <c r="C58" s="7" t="s">
        <v>15</v>
      </c>
      <c r="D58" s="9">
        <v>34303</v>
      </c>
      <c r="E58" s="7" t="s">
        <v>81</v>
      </c>
      <c r="F58" s="10">
        <v>0</v>
      </c>
      <c r="G58" s="11">
        <v>4442.74</v>
      </c>
    </row>
    <row r="59" spans="1:7" x14ac:dyDescent="0.2">
      <c r="A59" s="7" t="s">
        <v>82</v>
      </c>
      <c r="B59" s="7" t="s">
        <v>14</v>
      </c>
      <c r="C59" s="7" t="s">
        <v>15</v>
      </c>
      <c r="D59" s="9">
        <v>34357</v>
      </c>
      <c r="E59" s="7" t="s">
        <v>77</v>
      </c>
      <c r="F59" s="10">
        <v>0</v>
      </c>
      <c r="G59" s="11">
        <v>2961.83</v>
      </c>
    </row>
    <row r="60" spans="1:7" x14ac:dyDescent="0.2">
      <c r="A60" s="7" t="s">
        <v>83</v>
      </c>
      <c r="B60" s="7" t="s">
        <v>14</v>
      </c>
      <c r="C60" s="7" t="s">
        <v>15</v>
      </c>
      <c r="D60" s="9">
        <v>34709</v>
      </c>
      <c r="E60" s="7" t="s">
        <v>84</v>
      </c>
      <c r="F60" s="10">
        <v>0</v>
      </c>
      <c r="G60" s="11">
        <v>2344.7600000000002</v>
      </c>
    </row>
    <row r="61" spans="1:7" x14ac:dyDescent="0.2">
      <c r="A61" s="7" t="s">
        <v>83</v>
      </c>
      <c r="B61" s="7" t="s">
        <v>14</v>
      </c>
      <c r="C61" s="7" t="s">
        <v>15</v>
      </c>
      <c r="D61" s="9">
        <v>34711</v>
      </c>
      <c r="E61" s="7" t="s">
        <v>55</v>
      </c>
      <c r="F61" s="10">
        <v>0</v>
      </c>
      <c r="G61" s="14">
        <v>586.19000000000005</v>
      </c>
    </row>
    <row r="62" spans="1:7" x14ac:dyDescent="0.2">
      <c r="A62" s="7"/>
      <c r="B62" s="7"/>
      <c r="C62" s="7"/>
      <c r="D62" s="9"/>
      <c r="E62" s="7"/>
      <c r="F62" s="10"/>
      <c r="G62" s="14">
        <f>SUM(G55:G61)</f>
        <v>15599.160000000002</v>
      </c>
    </row>
    <row r="63" spans="1:7" x14ac:dyDescent="0.2">
      <c r="A63" s="7"/>
      <c r="B63" s="7"/>
      <c r="C63" s="7"/>
      <c r="D63" s="9"/>
      <c r="E63" s="7"/>
      <c r="F63" s="10"/>
      <c r="G63" s="14"/>
    </row>
    <row r="64" spans="1:7" x14ac:dyDescent="0.2">
      <c r="A64" s="7" t="s">
        <v>85</v>
      </c>
      <c r="B64" s="7" t="s">
        <v>14</v>
      </c>
      <c r="C64" s="7" t="s">
        <v>15</v>
      </c>
      <c r="D64" s="7" t="s">
        <v>87</v>
      </c>
      <c r="E64" s="7" t="s">
        <v>86</v>
      </c>
      <c r="F64" s="10">
        <v>0</v>
      </c>
      <c r="G64" s="11">
        <v>4442.74</v>
      </c>
    </row>
    <row r="65" spans="1:7" x14ac:dyDescent="0.2">
      <c r="A65" s="7" t="s">
        <v>88</v>
      </c>
      <c r="B65" s="7" t="s">
        <v>14</v>
      </c>
      <c r="C65" s="7" t="s">
        <v>15</v>
      </c>
      <c r="D65" s="9">
        <v>34997</v>
      </c>
      <c r="E65" s="7" t="s">
        <v>89</v>
      </c>
      <c r="F65" s="10">
        <v>0</v>
      </c>
      <c r="G65" s="11">
        <v>5923.65</v>
      </c>
    </row>
    <row r="66" spans="1:7" x14ac:dyDescent="0.2">
      <c r="A66" s="7" t="s">
        <v>90</v>
      </c>
      <c r="B66" s="7" t="s">
        <v>14</v>
      </c>
      <c r="C66" s="7" t="s">
        <v>15</v>
      </c>
      <c r="D66" s="9">
        <v>35251</v>
      </c>
      <c r="E66" s="7" t="s">
        <v>91</v>
      </c>
      <c r="F66" s="10">
        <v>0</v>
      </c>
      <c r="G66" s="11">
        <v>4442.74</v>
      </c>
    </row>
    <row r="67" spans="1:7" x14ac:dyDescent="0.2">
      <c r="A67" s="7" t="s">
        <v>92</v>
      </c>
      <c r="B67" s="7" t="s">
        <v>14</v>
      </c>
      <c r="C67" s="7" t="s">
        <v>15</v>
      </c>
      <c r="D67" s="9">
        <v>35392</v>
      </c>
      <c r="E67" s="7" t="s">
        <v>21</v>
      </c>
      <c r="F67" s="10">
        <v>0</v>
      </c>
      <c r="G67" s="14">
        <v>586.19000000000005</v>
      </c>
    </row>
    <row r="68" spans="1:7" x14ac:dyDescent="0.2">
      <c r="A68" s="7" t="s">
        <v>93</v>
      </c>
      <c r="B68" s="7" t="s">
        <v>14</v>
      </c>
      <c r="C68" s="7" t="s">
        <v>15</v>
      </c>
      <c r="D68" s="9">
        <v>35468</v>
      </c>
      <c r="E68" s="7" t="s">
        <v>55</v>
      </c>
      <c r="F68" s="10">
        <v>0</v>
      </c>
      <c r="G68" s="14">
        <v>586.19000000000005</v>
      </c>
    </row>
    <row r="69" spans="1:7" x14ac:dyDescent="0.2">
      <c r="A69" s="7" t="s">
        <v>93</v>
      </c>
      <c r="B69" s="7" t="s">
        <v>14</v>
      </c>
      <c r="C69" s="7" t="s">
        <v>15</v>
      </c>
      <c r="D69" s="9">
        <v>35466</v>
      </c>
      <c r="E69" s="7" t="s">
        <v>55</v>
      </c>
      <c r="F69" s="10">
        <v>0</v>
      </c>
      <c r="G69" s="11">
        <v>2344.7600000000002</v>
      </c>
    </row>
    <row r="70" spans="1:7" x14ac:dyDescent="0.2">
      <c r="A70" s="7" t="s">
        <v>94</v>
      </c>
      <c r="B70" s="7" t="s">
        <v>14</v>
      </c>
      <c r="C70" s="7" t="s">
        <v>15</v>
      </c>
      <c r="D70" s="9">
        <v>35669</v>
      </c>
      <c r="E70" s="7" t="s">
        <v>89</v>
      </c>
      <c r="F70" s="10">
        <v>0</v>
      </c>
      <c r="G70" s="11">
        <v>2961.83</v>
      </c>
    </row>
    <row r="71" spans="1:7" x14ac:dyDescent="0.2">
      <c r="A71" s="7"/>
      <c r="B71" s="7"/>
      <c r="C71" s="7"/>
      <c r="D71" s="9"/>
      <c r="E71" s="7"/>
      <c r="F71" s="10"/>
      <c r="G71" s="11">
        <f>SUM(G63:G70)</f>
        <v>21288.1</v>
      </c>
    </row>
    <row r="72" spans="1:7" x14ac:dyDescent="0.2">
      <c r="A72" s="7"/>
      <c r="B72" s="7"/>
      <c r="C72" s="7"/>
      <c r="D72" s="9"/>
      <c r="E72" s="7"/>
      <c r="F72" s="10"/>
      <c r="G72" s="11"/>
    </row>
    <row r="73" spans="1:7" x14ac:dyDescent="0.2">
      <c r="A73" s="7" t="s">
        <v>95</v>
      </c>
      <c r="B73" s="7" t="s">
        <v>14</v>
      </c>
      <c r="C73" s="7" t="s">
        <v>37</v>
      </c>
      <c r="D73" s="7" t="s">
        <v>24</v>
      </c>
      <c r="E73" s="7" t="s">
        <v>41</v>
      </c>
      <c r="F73" s="14">
        <v>222.65</v>
      </c>
      <c r="G73" s="10">
        <v>0</v>
      </c>
    </row>
    <row r="74" spans="1:7" x14ac:dyDescent="0.2">
      <c r="A74" s="7" t="s">
        <v>96</v>
      </c>
      <c r="B74" s="7" t="s">
        <v>14</v>
      </c>
      <c r="C74" s="7" t="s">
        <v>15</v>
      </c>
      <c r="D74" s="9">
        <v>35859</v>
      </c>
      <c r="E74" s="7" t="s">
        <v>97</v>
      </c>
      <c r="F74" s="10">
        <v>0</v>
      </c>
      <c r="G74" s="11">
        <v>4442.74</v>
      </c>
    </row>
    <row r="75" spans="1:7" x14ac:dyDescent="0.2">
      <c r="A75" s="7" t="s">
        <v>98</v>
      </c>
      <c r="B75" s="7" t="s">
        <v>14</v>
      </c>
      <c r="C75" s="7" t="s">
        <v>15</v>
      </c>
      <c r="D75" s="9">
        <v>36082</v>
      </c>
      <c r="E75" s="7" t="s">
        <v>99</v>
      </c>
      <c r="F75" s="10">
        <v>0</v>
      </c>
      <c r="G75" s="11">
        <v>2935.9</v>
      </c>
    </row>
    <row r="76" spans="1:7" x14ac:dyDescent="0.2">
      <c r="A76" s="7" t="s">
        <v>100</v>
      </c>
      <c r="B76" s="7" t="s">
        <v>14</v>
      </c>
      <c r="C76" s="7" t="s">
        <v>15</v>
      </c>
      <c r="D76" s="9">
        <v>36140</v>
      </c>
      <c r="E76" s="7" t="s">
        <v>101</v>
      </c>
      <c r="F76" s="10">
        <v>0</v>
      </c>
      <c r="G76" s="11">
        <v>2325.2399999999998</v>
      </c>
    </row>
    <row r="77" spans="1:7" x14ac:dyDescent="0.2">
      <c r="A77" s="7" t="s">
        <v>102</v>
      </c>
      <c r="B77" s="7" t="s">
        <v>14</v>
      </c>
      <c r="C77" s="7" t="s">
        <v>15</v>
      </c>
      <c r="D77" s="9">
        <v>36230</v>
      </c>
      <c r="E77" s="7" t="s">
        <v>103</v>
      </c>
      <c r="F77" s="10">
        <v>0</v>
      </c>
      <c r="G77" s="11">
        <v>4403.8599999999997</v>
      </c>
    </row>
    <row r="78" spans="1:7" x14ac:dyDescent="0.2">
      <c r="A78" s="7" t="s">
        <v>104</v>
      </c>
      <c r="B78" s="7" t="s">
        <v>14</v>
      </c>
      <c r="C78" s="7" t="s">
        <v>15</v>
      </c>
      <c r="D78" s="9">
        <v>33355</v>
      </c>
      <c r="E78" s="7" t="s">
        <v>99</v>
      </c>
      <c r="F78" s="10">
        <v>0</v>
      </c>
      <c r="G78" s="11">
        <v>2980.59</v>
      </c>
    </row>
    <row r="79" spans="1:7" x14ac:dyDescent="0.2">
      <c r="A79" s="7" t="s">
        <v>105</v>
      </c>
      <c r="B79" s="7" t="s">
        <v>14</v>
      </c>
      <c r="C79" s="7" t="s">
        <v>15</v>
      </c>
      <c r="D79" s="9">
        <v>36694</v>
      </c>
      <c r="E79" s="7" t="s">
        <v>99</v>
      </c>
      <c r="F79" s="10">
        <v>0</v>
      </c>
      <c r="G79" s="11">
        <v>2935.9</v>
      </c>
    </row>
    <row r="80" spans="1:7" x14ac:dyDescent="0.2">
      <c r="A80" s="7"/>
      <c r="B80" s="7"/>
      <c r="C80" s="7"/>
      <c r="D80" s="9"/>
      <c r="E80" s="7"/>
      <c r="F80" s="10"/>
      <c r="G80" s="11">
        <f>SUM(G72:G79)</f>
        <v>20024.23</v>
      </c>
    </row>
    <row r="81" spans="1:7" x14ac:dyDescent="0.2">
      <c r="A81" s="7"/>
      <c r="B81" s="7"/>
      <c r="C81" s="7"/>
      <c r="D81" s="9"/>
      <c r="E81" s="7"/>
      <c r="F81" s="10"/>
      <c r="G81" s="11"/>
    </row>
    <row r="82" spans="1:7" x14ac:dyDescent="0.2">
      <c r="A82" s="7" t="s">
        <v>106</v>
      </c>
      <c r="B82" s="7" t="s">
        <v>14</v>
      </c>
      <c r="C82" s="7" t="s">
        <v>15</v>
      </c>
      <c r="D82" s="9">
        <v>36791</v>
      </c>
      <c r="E82" s="7" t="s">
        <v>107</v>
      </c>
      <c r="F82" s="10">
        <v>0</v>
      </c>
      <c r="G82" s="11">
        <v>2324.2399999999998</v>
      </c>
    </row>
    <row r="83" spans="1:7" x14ac:dyDescent="0.2">
      <c r="A83" s="7" t="s">
        <v>108</v>
      </c>
      <c r="B83" s="7" t="s">
        <v>14</v>
      </c>
      <c r="C83" s="7" t="s">
        <v>37</v>
      </c>
      <c r="D83" s="7" t="s">
        <v>24</v>
      </c>
      <c r="E83" s="7" t="s">
        <v>25</v>
      </c>
      <c r="F83" s="14">
        <v>422.88</v>
      </c>
      <c r="G83" s="10">
        <v>0</v>
      </c>
    </row>
    <row r="84" spans="1:7" x14ac:dyDescent="0.2">
      <c r="A84" s="7" t="s">
        <v>108</v>
      </c>
      <c r="B84" s="7" t="s">
        <v>14</v>
      </c>
      <c r="C84" s="7" t="s">
        <v>15</v>
      </c>
      <c r="D84" s="9">
        <v>36917</v>
      </c>
      <c r="E84" s="7" t="s">
        <v>109</v>
      </c>
      <c r="F84" s="10">
        <v>0</v>
      </c>
      <c r="G84" s="11">
        <v>4431.84</v>
      </c>
    </row>
    <row r="85" spans="1:7" x14ac:dyDescent="0.2">
      <c r="A85" s="7" t="s">
        <v>110</v>
      </c>
      <c r="B85" s="7" t="s">
        <v>14</v>
      </c>
      <c r="C85" s="7" t="s">
        <v>15</v>
      </c>
      <c r="D85" s="9">
        <v>36890</v>
      </c>
      <c r="E85" s="7" t="s">
        <v>111</v>
      </c>
      <c r="F85" s="10">
        <v>0</v>
      </c>
      <c r="G85" s="11">
        <v>2935.9</v>
      </c>
    </row>
    <row r="86" spans="1:7" x14ac:dyDescent="0.2">
      <c r="A86" s="7" t="s">
        <v>112</v>
      </c>
      <c r="B86" s="7" t="s">
        <v>14</v>
      </c>
      <c r="C86" s="7" t="s">
        <v>15</v>
      </c>
      <c r="D86" s="9">
        <v>36987</v>
      </c>
      <c r="E86" s="7" t="s">
        <v>55</v>
      </c>
      <c r="F86" s="10">
        <v>0</v>
      </c>
      <c r="G86" s="14">
        <v>508.48</v>
      </c>
    </row>
    <row r="87" spans="1:7" x14ac:dyDescent="0.2">
      <c r="A87" s="7" t="s">
        <v>113</v>
      </c>
      <c r="B87" s="7" t="s">
        <v>14</v>
      </c>
      <c r="C87" s="7" t="s">
        <v>15</v>
      </c>
      <c r="D87" s="9">
        <v>37450</v>
      </c>
      <c r="E87" s="7" t="s">
        <v>114</v>
      </c>
      <c r="F87" s="10">
        <v>0</v>
      </c>
      <c r="G87" s="11">
        <v>2339.0100000000002</v>
      </c>
    </row>
    <row r="88" spans="1:7" x14ac:dyDescent="0.2">
      <c r="A88" s="7" t="s">
        <v>115</v>
      </c>
      <c r="B88" s="7" t="s">
        <v>14</v>
      </c>
      <c r="C88" s="7" t="s">
        <v>15</v>
      </c>
      <c r="D88" s="9">
        <v>37536</v>
      </c>
      <c r="E88" s="7" t="s">
        <v>116</v>
      </c>
      <c r="F88" s="10">
        <v>0</v>
      </c>
      <c r="G88" s="11">
        <v>4431.84</v>
      </c>
    </row>
    <row r="89" spans="1:7" x14ac:dyDescent="0.2">
      <c r="A89" s="7" t="s">
        <v>117</v>
      </c>
      <c r="B89" s="7" t="s">
        <v>14</v>
      </c>
      <c r="C89" s="7" t="s">
        <v>15</v>
      </c>
      <c r="D89" s="9">
        <v>31559</v>
      </c>
      <c r="E89" s="7" t="s">
        <v>111</v>
      </c>
      <c r="F89" s="10">
        <v>0</v>
      </c>
      <c r="G89" s="11">
        <v>3130.37</v>
      </c>
    </row>
    <row r="90" spans="1:7" x14ac:dyDescent="0.2">
      <c r="A90" s="7" t="s">
        <v>117</v>
      </c>
      <c r="B90" s="7" t="s">
        <v>14</v>
      </c>
      <c r="C90" s="7" t="s">
        <v>15</v>
      </c>
      <c r="D90" s="9">
        <v>37667</v>
      </c>
      <c r="E90" s="7" t="s">
        <v>111</v>
      </c>
      <c r="F90" s="10">
        <v>0</v>
      </c>
      <c r="G90" s="11">
        <v>2954.56</v>
      </c>
    </row>
    <row r="91" spans="1:7" x14ac:dyDescent="0.2">
      <c r="A91" s="7"/>
      <c r="B91" s="7"/>
      <c r="C91" s="7"/>
      <c r="D91" s="9"/>
      <c r="E91" s="7"/>
      <c r="F91" s="10"/>
      <c r="G91" s="11">
        <f>SUM(G81:G90)</f>
        <v>23056.239999999998</v>
      </c>
    </row>
    <row r="92" spans="1:7" x14ac:dyDescent="0.2">
      <c r="A92" s="7"/>
      <c r="B92" s="7"/>
      <c r="C92" s="7"/>
      <c r="D92" s="9"/>
      <c r="E92" s="7"/>
      <c r="F92" s="10"/>
      <c r="G92" s="11"/>
    </row>
    <row r="93" spans="1:7" x14ac:dyDescent="0.2">
      <c r="A93" s="7" t="s">
        <v>118</v>
      </c>
      <c r="B93" s="7" t="s">
        <v>14</v>
      </c>
      <c r="C93" s="7" t="s">
        <v>15</v>
      </c>
      <c r="D93" s="9">
        <v>37973</v>
      </c>
      <c r="E93" s="7" t="s">
        <v>119</v>
      </c>
      <c r="F93" s="10">
        <v>0</v>
      </c>
      <c r="G93" s="11">
        <v>4431.84</v>
      </c>
    </row>
    <row r="94" spans="1:7" x14ac:dyDescent="0.2">
      <c r="A94" s="7" t="s">
        <v>120</v>
      </c>
      <c r="B94" s="7" t="s">
        <v>14</v>
      </c>
      <c r="C94" s="7" t="s">
        <v>15</v>
      </c>
      <c r="D94" s="9">
        <v>38186</v>
      </c>
      <c r="E94" s="7" t="s">
        <v>121</v>
      </c>
      <c r="F94" s="10">
        <v>0</v>
      </c>
      <c r="G94" s="11">
        <v>5968.73</v>
      </c>
    </row>
    <row r="95" spans="1:7" x14ac:dyDescent="0.2">
      <c r="A95" s="7" t="s">
        <v>122</v>
      </c>
      <c r="B95" s="7" t="s">
        <v>14</v>
      </c>
      <c r="C95" s="7" t="s">
        <v>15</v>
      </c>
      <c r="D95" s="9">
        <v>10334</v>
      </c>
      <c r="E95" s="7" t="s">
        <v>123</v>
      </c>
      <c r="F95" s="10">
        <v>0</v>
      </c>
      <c r="G95" s="11">
        <v>4476.55</v>
      </c>
    </row>
    <row r="96" spans="1:7" x14ac:dyDescent="0.2">
      <c r="A96" s="7" t="s">
        <v>124</v>
      </c>
      <c r="B96" s="7" t="s">
        <v>14</v>
      </c>
      <c r="C96" s="7" t="s">
        <v>18</v>
      </c>
      <c r="D96" s="9">
        <v>11321</v>
      </c>
      <c r="E96" s="7" t="s">
        <v>55</v>
      </c>
      <c r="F96" s="14">
        <v>690</v>
      </c>
      <c r="G96" s="10">
        <f>SUM(G92:G95)</f>
        <v>14877.119999999999</v>
      </c>
    </row>
    <row r="97" spans="1:7" x14ac:dyDescent="0.2">
      <c r="A97" s="7"/>
      <c r="B97" s="7"/>
      <c r="C97" s="7"/>
      <c r="D97" s="9"/>
      <c r="E97" s="7"/>
      <c r="F97" s="14"/>
      <c r="G97" s="10"/>
    </row>
    <row r="98" spans="1:7" x14ac:dyDescent="0.2">
      <c r="A98" s="7"/>
      <c r="B98" s="7"/>
      <c r="C98" s="7"/>
      <c r="D98" s="9"/>
      <c r="E98" s="7"/>
      <c r="F98" s="14"/>
      <c r="G98" s="10"/>
    </row>
    <row r="99" spans="1:7" x14ac:dyDescent="0.2">
      <c r="A99" s="7" t="s">
        <v>125</v>
      </c>
      <c r="B99" s="7" t="s">
        <v>126</v>
      </c>
      <c r="C99" s="7" t="s">
        <v>15</v>
      </c>
      <c r="D99" s="9">
        <v>38699</v>
      </c>
      <c r="E99" s="7" t="s">
        <v>127</v>
      </c>
      <c r="F99" s="10">
        <v>0</v>
      </c>
      <c r="G99" s="11">
        <v>2984.37</v>
      </c>
    </row>
    <row r="100" spans="1:7" x14ac:dyDescent="0.2">
      <c r="A100" s="7" t="s">
        <v>125</v>
      </c>
      <c r="B100" s="7" t="s">
        <v>126</v>
      </c>
      <c r="C100" s="7" t="s">
        <v>18</v>
      </c>
      <c r="D100" s="9">
        <v>11364</v>
      </c>
      <c r="E100" s="7" t="s">
        <v>127</v>
      </c>
      <c r="F100" s="11">
        <v>2415</v>
      </c>
      <c r="G100" s="10">
        <v>0</v>
      </c>
    </row>
    <row r="101" spans="1:7" x14ac:dyDescent="0.2">
      <c r="A101" s="7" t="s">
        <v>128</v>
      </c>
      <c r="B101" s="7" t="s">
        <v>126</v>
      </c>
      <c r="C101" s="7" t="s">
        <v>18</v>
      </c>
      <c r="D101" s="9">
        <v>11483</v>
      </c>
      <c r="E101" s="7" t="s">
        <v>127</v>
      </c>
      <c r="F101" s="11">
        <v>2415</v>
      </c>
      <c r="G101" s="10">
        <v>0</v>
      </c>
    </row>
    <row r="102" spans="1:7" x14ac:dyDescent="0.2">
      <c r="A102" s="7" t="s">
        <v>128</v>
      </c>
      <c r="B102" s="7" t="s">
        <v>126</v>
      </c>
      <c r="C102" s="7" t="s">
        <v>15</v>
      </c>
      <c r="D102" s="9">
        <v>39045</v>
      </c>
      <c r="E102" s="7" t="s">
        <v>127</v>
      </c>
      <c r="F102" s="10">
        <v>0</v>
      </c>
      <c r="G102" s="11">
        <v>5526.49</v>
      </c>
    </row>
    <row r="103" spans="1:7" x14ac:dyDescent="0.2">
      <c r="A103" s="7"/>
      <c r="B103" s="7"/>
      <c r="C103" s="7"/>
      <c r="D103" s="9"/>
      <c r="E103" s="7"/>
      <c r="F103" s="10"/>
      <c r="G103" s="11">
        <f>SUM(G98:G102)</f>
        <v>8510.86</v>
      </c>
    </row>
    <row r="104" spans="1:7" x14ac:dyDescent="0.2">
      <c r="A104" s="7"/>
      <c r="B104" s="7"/>
      <c r="C104" s="7"/>
      <c r="D104" s="7"/>
      <c r="E104" s="7"/>
      <c r="F104" s="8"/>
      <c r="G104" s="10"/>
    </row>
    <row r="105" spans="1:7" x14ac:dyDescent="0.2">
      <c r="A105" s="7" t="s">
        <v>129</v>
      </c>
      <c r="B105" s="7" t="s">
        <v>130</v>
      </c>
      <c r="C105" s="7" t="s">
        <v>15</v>
      </c>
      <c r="D105" s="9">
        <v>29002</v>
      </c>
      <c r="E105" s="7" t="s">
        <v>131</v>
      </c>
      <c r="F105" s="10">
        <v>0</v>
      </c>
      <c r="G105" s="11">
        <v>3079.24</v>
      </c>
    </row>
    <row r="106" spans="1:7" x14ac:dyDescent="0.2">
      <c r="A106" s="7" t="s">
        <v>132</v>
      </c>
      <c r="B106" s="7" t="s">
        <v>130</v>
      </c>
      <c r="C106" s="7" t="s">
        <v>15</v>
      </c>
      <c r="D106" s="9">
        <v>39534</v>
      </c>
      <c r="E106" s="7" t="s">
        <v>133</v>
      </c>
      <c r="F106" s="10">
        <v>0</v>
      </c>
      <c r="G106" s="11">
        <v>2495.1799999999998</v>
      </c>
    </row>
    <row r="107" spans="1:7" x14ac:dyDescent="0.2">
      <c r="A107" s="7" t="s">
        <v>134</v>
      </c>
      <c r="B107" s="7" t="s">
        <v>130</v>
      </c>
      <c r="C107" s="7" t="s">
        <v>15</v>
      </c>
      <c r="D107" s="9">
        <v>39621</v>
      </c>
      <c r="E107" s="7" t="s">
        <v>131</v>
      </c>
      <c r="F107" s="10">
        <v>0</v>
      </c>
      <c r="G107" s="11">
        <v>3125.88</v>
      </c>
    </row>
    <row r="108" spans="1:7" x14ac:dyDescent="0.2">
      <c r="A108" s="7" t="s">
        <v>134</v>
      </c>
      <c r="B108" s="7" t="s">
        <v>130</v>
      </c>
      <c r="C108" s="7" t="s">
        <v>18</v>
      </c>
      <c r="D108" s="9">
        <v>39621</v>
      </c>
      <c r="E108" s="7" t="s">
        <v>131</v>
      </c>
      <c r="F108" s="11">
        <v>3125.88</v>
      </c>
      <c r="G108" s="10">
        <v>0</v>
      </c>
    </row>
    <row r="109" spans="1:7" x14ac:dyDescent="0.2">
      <c r="A109" s="7" t="s">
        <v>134</v>
      </c>
      <c r="B109" s="7" t="s">
        <v>130</v>
      </c>
      <c r="C109" s="7" t="s">
        <v>15</v>
      </c>
      <c r="D109" s="9">
        <v>39621</v>
      </c>
      <c r="E109" s="7" t="s">
        <v>131</v>
      </c>
      <c r="F109" s="10">
        <v>0</v>
      </c>
      <c r="G109" s="11">
        <v>3125.88</v>
      </c>
    </row>
    <row r="110" spans="1:7" x14ac:dyDescent="0.2">
      <c r="A110" s="7" t="s">
        <v>135</v>
      </c>
      <c r="B110" s="7" t="s">
        <v>130</v>
      </c>
      <c r="C110" s="7" t="s">
        <v>15</v>
      </c>
      <c r="D110" s="9">
        <v>40026</v>
      </c>
      <c r="E110" s="7" t="s">
        <v>133</v>
      </c>
      <c r="F110" s="10">
        <v>0</v>
      </c>
      <c r="G110" s="11">
        <v>1856</v>
      </c>
    </row>
    <row r="111" spans="1:7" x14ac:dyDescent="0.2">
      <c r="A111" s="7" t="s">
        <v>136</v>
      </c>
      <c r="B111" s="7" t="s">
        <v>130</v>
      </c>
      <c r="C111" s="7" t="s">
        <v>15</v>
      </c>
      <c r="D111" s="9">
        <v>40051</v>
      </c>
      <c r="E111" s="7" t="s">
        <v>131</v>
      </c>
      <c r="F111" s="10">
        <v>0</v>
      </c>
      <c r="G111" s="11">
        <v>3125.88</v>
      </c>
    </row>
    <row r="112" spans="1:7" x14ac:dyDescent="0.2">
      <c r="A112" s="7" t="s">
        <v>136</v>
      </c>
      <c r="B112" s="7" t="s">
        <v>130</v>
      </c>
      <c r="C112" s="7" t="s">
        <v>18</v>
      </c>
      <c r="D112" s="9">
        <v>40051</v>
      </c>
      <c r="E112" s="7" t="s">
        <v>131</v>
      </c>
      <c r="F112" s="11">
        <v>3125.88</v>
      </c>
      <c r="G112" s="10">
        <v>0</v>
      </c>
    </row>
    <row r="113" spans="1:7" x14ac:dyDescent="0.2">
      <c r="A113" s="7" t="s">
        <v>136</v>
      </c>
      <c r="B113" s="7" t="s">
        <v>130</v>
      </c>
      <c r="C113" s="7" t="s">
        <v>15</v>
      </c>
      <c r="D113" s="9">
        <v>40051</v>
      </c>
      <c r="E113" s="7" t="s">
        <v>131</v>
      </c>
      <c r="F113" s="10">
        <v>0</v>
      </c>
      <c r="G113" s="11">
        <v>3125.88</v>
      </c>
    </row>
    <row r="114" spans="1:7" x14ac:dyDescent="0.2">
      <c r="A114" s="7"/>
      <c r="B114" s="7"/>
      <c r="C114" s="7"/>
      <c r="D114" s="9"/>
      <c r="E114" s="7"/>
      <c r="F114" s="10"/>
      <c r="G114" s="11">
        <f>SUM(G104:G113)</f>
        <v>19933.940000000002</v>
      </c>
    </row>
    <row r="115" spans="1:7" x14ac:dyDescent="0.2">
      <c r="A115" s="7"/>
      <c r="B115" s="7"/>
      <c r="C115" s="7"/>
      <c r="D115" s="9"/>
      <c r="E115" s="7"/>
      <c r="F115" s="10"/>
      <c r="G115" s="11"/>
    </row>
    <row r="116" spans="1:7" x14ac:dyDescent="0.2">
      <c r="A116" s="7" t="s">
        <v>137</v>
      </c>
      <c r="B116" s="7" t="s">
        <v>138</v>
      </c>
      <c r="C116" s="7" t="s">
        <v>15</v>
      </c>
      <c r="D116" s="9">
        <v>40386</v>
      </c>
      <c r="E116" s="7" t="s">
        <v>139</v>
      </c>
      <c r="F116" s="10">
        <v>0</v>
      </c>
      <c r="G116" s="11">
        <v>4688.83</v>
      </c>
    </row>
    <row r="117" spans="1:7" x14ac:dyDescent="0.2">
      <c r="A117" s="7" t="s">
        <v>140</v>
      </c>
      <c r="B117" s="7" t="s">
        <v>138</v>
      </c>
      <c r="C117" s="7" t="s">
        <v>15</v>
      </c>
      <c r="D117" s="9">
        <v>40526</v>
      </c>
      <c r="E117" s="7" t="s">
        <v>141</v>
      </c>
      <c r="F117" s="10">
        <v>0</v>
      </c>
      <c r="G117" s="11">
        <v>3149.87</v>
      </c>
    </row>
    <row r="118" spans="1:7" x14ac:dyDescent="0.2">
      <c r="A118" s="7" t="s">
        <v>142</v>
      </c>
      <c r="B118" s="7" t="s">
        <v>138</v>
      </c>
      <c r="C118" s="7" t="s">
        <v>15</v>
      </c>
      <c r="D118" s="9">
        <v>40631</v>
      </c>
      <c r="E118" s="7" t="s">
        <v>143</v>
      </c>
      <c r="F118" s="10">
        <v>0</v>
      </c>
      <c r="G118" s="11">
        <v>2493.66</v>
      </c>
    </row>
    <row r="119" spans="1:7" x14ac:dyDescent="0.2">
      <c r="A119" s="7" t="s">
        <v>142</v>
      </c>
      <c r="B119" s="7" t="s">
        <v>138</v>
      </c>
      <c r="C119" s="7" t="s">
        <v>15</v>
      </c>
      <c r="D119" s="9">
        <v>40626</v>
      </c>
      <c r="E119" s="7" t="s">
        <v>144</v>
      </c>
      <c r="F119" s="10">
        <v>0</v>
      </c>
      <c r="G119" s="11">
        <v>4724.8100000000004</v>
      </c>
    </row>
    <row r="120" spans="1:7" x14ac:dyDescent="0.2">
      <c r="A120" s="7" t="s">
        <v>145</v>
      </c>
      <c r="B120" s="7" t="s">
        <v>138</v>
      </c>
      <c r="C120" s="7" t="s">
        <v>15</v>
      </c>
      <c r="D120" s="9">
        <v>40836</v>
      </c>
      <c r="E120" s="7" t="s">
        <v>143</v>
      </c>
      <c r="F120" s="10">
        <v>0</v>
      </c>
      <c r="G120" s="14">
        <v>169.99</v>
      </c>
    </row>
    <row r="121" spans="1:7" x14ac:dyDescent="0.2">
      <c r="A121" s="7"/>
      <c r="B121" s="7"/>
      <c r="C121" s="7"/>
      <c r="D121" s="9"/>
      <c r="E121" s="7"/>
      <c r="F121" s="10"/>
      <c r="G121" s="14">
        <f>SUM(G115:G120)</f>
        <v>15227.160000000002</v>
      </c>
    </row>
    <row r="122" spans="1:7" x14ac:dyDescent="0.2">
      <c r="A122" s="7"/>
      <c r="B122" s="7"/>
      <c r="C122" s="7"/>
      <c r="D122" s="9"/>
      <c r="E122" s="7"/>
      <c r="F122" s="10"/>
      <c r="G122" s="14"/>
    </row>
    <row r="123" spans="1:7" x14ac:dyDescent="0.2">
      <c r="A123" s="7" t="s">
        <v>147</v>
      </c>
      <c r="B123" s="7" t="s">
        <v>146</v>
      </c>
      <c r="C123" s="7" t="s">
        <v>15</v>
      </c>
      <c r="D123" s="9">
        <v>41307</v>
      </c>
      <c r="E123" s="7" t="s">
        <v>148</v>
      </c>
      <c r="F123" s="10">
        <v>0</v>
      </c>
      <c r="G123" s="11">
        <v>9449.6200000000008</v>
      </c>
    </row>
    <row r="124" spans="1:7" x14ac:dyDescent="0.2">
      <c r="A124" s="7" t="s">
        <v>149</v>
      </c>
      <c r="B124" s="7" t="s">
        <v>146</v>
      </c>
      <c r="C124" s="7" t="s">
        <v>15</v>
      </c>
      <c r="D124" s="9">
        <v>41768</v>
      </c>
      <c r="E124" s="7" t="s">
        <v>150</v>
      </c>
      <c r="F124" s="10">
        <v>0</v>
      </c>
      <c r="G124" s="11">
        <v>3149.87</v>
      </c>
    </row>
    <row r="125" spans="1:7" x14ac:dyDescent="0.2">
      <c r="A125" s="7" t="s">
        <v>151</v>
      </c>
      <c r="B125" s="7" t="s">
        <v>146</v>
      </c>
      <c r="C125" s="7" t="s">
        <v>15</v>
      </c>
      <c r="D125" s="9">
        <v>41378</v>
      </c>
      <c r="E125" s="7" t="s">
        <v>150</v>
      </c>
      <c r="F125" s="10">
        <v>0</v>
      </c>
      <c r="G125" s="11">
        <v>3149.87</v>
      </c>
    </row>
    <row r="126" spans="1:7" x14ac:dyDescent="0.2">
      <c r="A126" s="7"/>
      <c r="B126" s="7"/>
      <c r="C126" s="7"/>
      <c r="D126" s="9"/>
      <c r="E126" s="7"/>
      <c r="F126" s="10"/>
      <c r="G126" s="11">
        <f>SUM(G122:G125)</f>
        <v>15749.36</v>
      </c>
    </row>
    <row r="127" spans="1:7" x14ac:dyDescent="0.2">
      <c r="A127" s="7"/>
      <c r="B127" s="7"/>
      <c r="C127" s="7"/>
      <c r="D127" s="9"/>
      <c r="E127" s="7"/>
      <c r="F127" s="10"/>
      <c r="G127" s="11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 Payable Allocations_20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Phindile Zondi</cp:lastModifiedBy>
  <dcterms:created xsi:type="dcterms:W3CDTF">2025-05-30T12:51:09Z</dcterms:created>
  <dcterms:modified xsi:type="dcterms:W3CDTF">2025-05-30T12:51:09Z</dcterms:modified>
</cp:coreProperties>
</file>