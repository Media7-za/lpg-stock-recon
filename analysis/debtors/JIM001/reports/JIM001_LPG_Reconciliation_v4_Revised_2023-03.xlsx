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LPG Insights (2023-03+)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#,##0.00;[Red]-R#,##0.00;&quot;—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pivotButton="0" quotePrefix="0" xfId="0"/>
    <xf numFmtId="164" fontId="2" fillId="4" borderId="0" pivotButton="0" quotePrefix="0" xfId="0"/>
    <xf numFmtId="0" fontId="2" fillId="4" borderId="0" applyAlignment="1" pivotButton="0" quotePrefix="0" xfId="0">
      <alignment vertical="top" wrapText="1"/>
    </xf>
    <xf numFmtId="0" fontId="2" fillId="5" borderId="0" pivotButton="0" quotePrefix="0" xfId="0"/>
    <xf numFmtId="164" fontId="2" fillId="5" borderId="0" pivotButton="0" quotePrefix="0" xfId="0"/>
    <xf numFmtId="0" fontId="2" fillId="5" borderId="0" applyAlignment="1" pivotButton="0" quotePrefix="0" xfId="0">
      <alignment vertical="top" wrapText="1"/>
    </xf>
    <xf numFmtId="0" fontId="2" fillId="6" borderId="0" pivotButton="0" quotePrefix="0" xfId="0"/>
    <xf numFmtId="164" fontId="2" fillId="6" borderId="0" pivotButton="0" quotePrefix="0" xfId="0"/>
    <xf numFmtId="0" fontId="2" fillId="6" borderId="0" applyAlignment="1" pivotButton="0" quotePrefix="0" xfId="0">
      <alignment vertical="top" wrapText="1"/>
    </xf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6" customWidth="1" min="4" max="4"/>
    <col width="14" customWidth="1" min="5" max="5"/>
    <col width="24" customWidth="1" min="6" max="6"/>
    <col width="16" customWidth="1" min="7" max="7"/>
    <col width="14" customWidth="1" min="8" max="8"/>
    <col width="17" customWidth="1" min="9" max="9"/>
    <col width="14" customWidth="1" min="10" max="10"/>
    <col width="70" customWidth="1" min="11" max="11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Month-Year</t>
        </is>
      </c>
      <c r="D1" s="1" t="inlineStr">
        <is>
          <t>Net LPG Invoiced (R)</t>
        </is>
      </c>
      <c r="E1" s="1" t="inlineStr">
        <is>
          <t>Payment Doc(s)</t>
        </is>
      </c>
      <c r="F1" s="1" t="inlineStr">
        <is>
          <t>Payment Date(s)</t>
        </is>
      </c>
      <c r="G1" s="1" t="inlineStr">
        <is>
          <t>Payment Allocated (R)</t>
        </is>
      </c>
      <c r="H1" s="1" t="inlineStr">
        <is>
          <t>Difference (R)</t>
        </is>
      </c>
      <c r="I1" s="1" t="inlineStr">
        <is>
          <t>Status</t>
        </is>
      </c>
      <c r="J1" s="1" t="inlineStr">
        <is>
          <t>Review Required</t>
        </is>
      </c>
      <c r="K1" s="1" t="inlineStr">
        <is>
          <t>Notes</t>
        </is>
      </c>
    </row>
    <row r="2">
      <c r="A2" s="2" t="n">
        <v>2023</v>
      </c>
      <c r="B2" s="2" t="inlineStr">
        <is>
          <t>March</t>
        </is>
      </c>
      <c r="C2" s="2" t="inlineStr">
        <is>
          <t>2023-03</t>
        </is>
      </c>
      <c r="D2" s="3" t="n">
        <v>16111.5</v>
      </c>
      <c r="E2" s="2" t="inlineStr">
        <is>
          <t>21193</t>
        </is>
      </c>
      <c r="F2" s="2" t="inlineStr">
        <is>
          <t>2023-05-31</t>
        </is>
      </c>
      <c r="G2" s="3" t="n">
        <v>15409.46</v>
      </c>
      <c r="H2" s="3" t="n">
        <v>702.04</v>
      </c>
      <c r="I2" s="2" t="inlineStr">
        <is>
          <t>PARTIALLY_SETTLED</t>
        </is>
      </c>
      <c r="J2" s="2" t="inlineStr">
        <is>
          <t>False</t>
        </is>
      </c>
      <c r="K2" s="4" t="inlineStr">
        <is>
          <t>Underpaid. R702.04 remaining unpaid.</t>
        </is>
      </c>
    </row>
    <row r="3">
      <c r="A3" s="5" t="n">
        <v>2023</v>
      </c>
      <c r="B3" s="5" t="inlineStr">
        <is>
          <t>April</t>
        </is>
      </c>
      <c r="C3" s="5" t="inlineStr">
        <is>
          <t>2023-04</t>
        </is>
      </c>
      <c r="D3" s="6" t="n">
        <v>15140.69</v>
      </c>
      <c r="E3" s="5" t="inlineStr">
        <is>
          <t>22711</t>
        </is>
      </c>
      <c r="F3" s="5" t="inlineStr">
        <is>
          <t>2023-07-21</t>
        </is>
      </c>
      <c r="G3" s="6" t="n">
        <v>15140.69</v>
      </c>
      <c r="H3" s="6" t="n">
        <v>0</v>
      </c>
      <c r="I3" s="5" t="inlineStr">
        <is>
          <t>FULLY_SETTLED</t>
        </is>
      </c>
      <c r="J3" s="5" t="inlineStr">
        <is>
          <t>False</t>
        </is>
      </c>
      <c r="K3" s="7" t="inlineStr">
        <is>
          <t>Settled in full.</t>
        </is>
      </c>
    </row>
    <row r="4">
      <c r="A4" s="5" t="n">
        <v>2023</v>
      </c>
      <c r="B4" s="5" t="inlineStr">
        <is>
          <t>May</t>
        </is>
      </c>
      <c r="C4" s="5" t="inlineStr">
        <is>
          <t>2023-05</t>
        </is>
      </c>
      <c r="D4" s="6" t="n">
        <v>13806.77</v>
      </c>
      <c r="E4" s="5" t="inlineStr">
        <is>
          <t>23280</t>
        </is>
      </c>
      <c r="F4" s="5" t="inlineStr">
        <is>
          <t>2023-08-11</t>
        </is>
      </c>
      <c r="G4" s="6" t="n">
        <v>13806.77</v>
      </c>
      <c r="H4" s="6" t="n">
        <v>0</v>
      </c>
      <c r="I4" s="5" t="inlineStr">
        <is>
          <t>FULLY_SETTLED</t>
        </is>
      </c>
      <c r="J4" s="5" t="inlineStr">
        <is>
          <t>False</t>
        </is>
      </c>
      <c r="K4" s="7" t="inlineStr">
        <is>
          <t>Settled in full.</t>
        </is>
      </c>
    </row>
    <row r="5">
      <c r="A5" s="5" t="n">
        <v>2023</v>
      </c>
      <c r="B5" s="5" t="inlineStr">
        <is>
          <t>June</t>
        </is>
      </c>
      <c r="C5" s="5" t="inlineStr">
        <is>
          <t>2023-06</t>
        </is>
      </c>
      <c r="D5" s="6" t="n">
        <v>16964.84</v>
      </c>
      <c r="E5" s="5" t="inlineStr">
        <is>
          <t>23977</t>
        </is>
      </c>
      <c r="F5" s="5" t="inlineStr">
        <is>
          <t>2023-09-05</t>
        </is>
      </c>
      <c r="G5" s="6" t="n">
        <v>16964.84</v>
      </c>
      <c r="H5" s="6" t="n">
        <v>-0</v>
      </c>
      <c r="I5" s="5" t="inlineStr">
        <is>
          <t>FULLY_SETTLED</t>
        </is>
      </c>
      <c r="J5" s="5" t="inlineStr">
        <is>
          <t>False</t>
        </is>
      </c>
      <c r="K5" s="7" t="inlineStr">
        <is>
          <t>Settled in full.</t>
        </is>
      </c>
    </row>
    <row r="6">
      <c r="A6" s="5" t="n">
        <v>2023</v>
      </c>
      <c r="B6" s="5" t="inlineStr">
        <is>
          <t>July</t>
        </is>
      </c>
      <c r="C6" s="5" t="inlineStr">
        <is>
          <t>2023-07</t>
        </is>
      </c>
      <c r="D6" s="6" t="n">
        <v>13911.54</v>
      </c>
      <c r="E6" s="5" t="inlineStr">
        <is>
          <t>25394</t>
        </is>
      </c>
      <c r="F6" s="5" t="inlineStr">
        <is>
          <t>2023-10-24</t>
        </is>
      </c>
      <c r="G6" s="6" t="n">
        <v>13911.54</v>
      </c>
      <c r="H6" s="6" t="n">
        <v>0</v>
      </c>
      <c r="I6" s="5" t="inlineStr">
        <is>
          <t>FULLY_SETTLED</t>
        </is>
      </c>
      <c r="J6" s="5" t="inlineStr">
        <is>
          <t>False</t>
        </is>
      </c>
      <c r="K6" s="7" t="inlineStr">
        <is>
          <t>Settled in full.</t>
        </is>
      </c>
    </row>
    <row r="7">
      <c r="A7" s="2" t="n">
        <v>2023</v>
      </c>
      <c r="B7" s="2" t="inlineStr">
        <is>
          <t>August</t>
        </is>
      </c>
      <c r="C7" s="2" t="inlineStr">
        <is>
          <t>2023-08</t>
        </is>
      </c>
      <c r="D7" s="3" t="n">
        <v>15766.57</v>
      </c>
      <c r="E7" s="2" t="inlineStr">
        <is>
          <t>26601</t>
        </is>
      </c>
      <c r="F7" s="2" t="inlineStr">
        <is>
          <t>2023-11-29</t>
        </is>
      </c>
      <c r="G7" s="3" t="n">
        <v>12520.81</v>
      </c>
      <c r="H7" s="3" t="n">
        <v>3245.76</v>
      </c>
      <c r="I7" s="2" t="inlineStr">
        <is>
          <t>PARTIALLY_SETTLED</t>
        </is>
      </c>
      <c r="J7" s="2" t="inlineStr">
        <is>
          <t>False</t>
        </is>
      </c>
      <c r="K7" s="4" t="inlineStr">
        <is>
          <t>Underpaid. R3245.76 remaining unpaid.</t>
        </is>
      </c>
    </row>
    <row r="8">
      <c r="A8" s="8" t="n">
        <v>2023</v>
      </c>
      <c r="B8" s="8" t="inlineStr">
        <is>
          <t>September</t>
        </is>
      </c>
      <c r="C8" s="8" t="inlineStr">
        <is>
          <t>2023-09</t>
        </is>
      </c>
      <c r="D8" s="9" t="n">
        <v>8026.98</v>
      </c>
      <c r="E8" s="8" t="inlineStr">
        <is>
          <t>27468</t>
        </is>
      </c>
      <c r="F8" s="8" t="inlineStr">
        <is>
          <t>2023-12-29</t>
        </is>
      </c>
      <c r="G8" s="9" t="n">
        <v>11272.74</v>
      </c>
      <c r="H8" s="9" t="n">
        <v>-3245.76</v>
      </c>
      <c r="I8" s="8" t="inlineStr">
        <is>
          <t>OVERPAID</t>
        </is>
      </c>
      <c r="J8" s="8" t="inlineStr">
        <is>
          <t>False</t>
        </is>
      </c>
      <c r="K8" s="10" t="inlineStr">
        <is>
          <t>Overpaid by R3245.76.</t>
        </is>
      </c>
    </row>
    <row r="9">
      <c r="A9" s="5" t="n">
        <v>2023</v>
      </c>
      <c r="B9" s="5" t="inlineStr">
        <is>
          <t>October</t>
        </is>
      </c>
      <c r="C9" s="5" t="inlineStr">
        <is>
          <t>2023-10</t>
        </is>
      </c>
      <c r="D9" s="6" t="n">
        <v>13528.54</v>
      </c>
      <c r="E9" s="5" t="inlineStr">
        <is>
          <t>30269</t>
        </is>
      </c>
      <c r="F9" s="5" t="inlineStr">
        <is>
          <t>2024-04-24</t>
        </is>
      </c>
      <c r="G9" s="6" t="n">
        <v>13528.54</v>
      </c>
      <c r="H9" s="6" t="n">
        <v>0</v>
      </c>
      <c r="I9" s="5" t="inlineStr">
        <is>
          <t>FULLY_SETTLED</t>
        </is>
      </c>
      <c r="J9" s="5" t="inlineStr">
        <is>
          <t>False</t>
        </is>
      </c>
      <c r="K9" s="7" t="inlineStr">
        <is>
          <t>Settled in full.</t>
        </is>
      </c>
    </row>
    <row r="10">
      <c r="A10" s="5" t="n">
        <v>2023</v>
      </c>
      <c r="B10" s="5" t="inlineStr">
        <is>
          <t>November</t>
        </is>
      </c>
      <c r="C10" s="5" t="inlineStr">
        <is>
          <t>2023-11</t>
        </is>
      </c>
      <c r="D10" s="6" t="n">
        <v>11625.12</v>
      </c>
      <c r="E10" s="5" t="inlineStr">
        <is>
          <t>28893</t>
        </is>
      </c>
      <c r="F10" s="5" t="inlineStr">
        <is>
          <t>2024-02-20</t>
        </is>
      </c>
      <c r="G10" s="6" t="n">
        <v>11625.12</v>
      </c>
      <c r="H10" s="6" t="n">
        <v>0</v>
      </c>
      <c r="I10" s="5" t="inlineStr">
        <is>
          <t>FULLY_SETTLED</t>
        </is>
      </c>
      <c r="J10" s="5" t="inlineStr">
        <is>
          <t>False</t>
        </is>
      </c>
      <c r="K10" s="7" t="inlineStr">
        <is>
          <t>Settled in full.</t>
        </is>
      </c>
    </row>
    <row r="11">
      <c r="A11" s="2" t="n">
        <v>2023</v>
      </c>
      <c r="B11" s="2" t="inlineStr">
        <is>
          <t>December</t>
        </is>
      </c>
      <c r="C11" s="2" t="inlineStr">
        <is>
          <t>2023-12</t>
        </is>
      </c>
      <c r="D11" s="3" t="n">
        <v>18734.46</v>
      </c>
      <c r="E11" s="2" t="inlineStr">
        <is>
          <t>35270</t>
        </is>
      </c>
      <c r="F11" s="2" t="inlineStr">
        <is>
          <t>2024-12-04</t>
        </is>
      </c>
      <c r="G11" s="3" t="n">
        <v>18441.12</v>
      </c>
      <c r="H11" s="3" t="n">
        <v>293.34</v>
      </c>
      <c r="I11" s="2" t="inlineStr">
        <is>
          <t>PARTIALLY_SETTLED</t>
        </is>
      </c>
      <c r="J11" s="2" t="inlineStr">
        <is>
          <t>False</t>
        </is>
      </c>
      <c r="K11" s="4" t="inlineStr">
        <is>
          <t>Underpaid. R293.34 remaining unpaid.</t>
        </is>
      </c>
    </row>
    <row r="12">
      <c r="A12" s="5" t="n">
        <v>2024</v>
      </c>
      <c r="B12" s="5" t="inlineStr">
        <is>
          <t>January</t>
        </is>
      </c>
      <c r="C12" s="5" t="inlineStr">
        <is>
          <t>2024-01</t>
        </is>
      </c>
      <c r="D12" s="6" t="n">
        <v>11105.31</v>
      </c>
      <c r="E12" s="5" t="inlineStr">
        <is>
          <t>30891</t>
        </is>
      </c>
      <c r="F12" s="5" t="inlineStr">
        <is>
          <t>2024-05-27</t>
        </is>
      </c>
      <c r="G12" s="6" t="n">
        <v>11105.31</v>
      </c>
      <c r="H12" s="6" t="n">
        <v>0</v>
      </c>
      <c r="I12" s="5" t="inlineStr">
        <is>
          <t>FULLY_SETTLED</t>
        </is>
      </c>
      <c r="J12" s="5" t="inlineStr">
        <is>
          <t>False</t>
        </is>
      </c>
      <c r="K12" s="7" t="inlineStr">
        <is>
          <t>Settled in full.</t>
        </is>
      </c>
    </row>
    <row r="13">
      <c r="A13" s="5" t="n">
        <v>2024</v>
      </c>
      <c r="B13" s="5" t="inlineStr">
        <is>
          <t>February</t>
        </is>
      </c>
      <c r="C13" s="5" t="inlineStr">
        <is>
          <t>2024-02</t>
        </is>
      </c>
      <c r="D13" s="6" t="n">
        <v>13862.53</v>
      </c>
      <c r="E13" s="5" t="inlineStr">
        <is>
          <t>32896</t>
        </is>
      </c>
      <c r="F13" s="5" t="inlineStr">
        <is>
          <t>2024-08-23</t>
        </is>
      </c>
      <c r="G13" s="6" t="n">
        <v>13862.53</v>
      </c>
      <c r="H13" s="6" t="n">
        <v>0</v>
      </c>
      <c r="I13" s="5" t="inlineStr">
        <is>
          <t>FULLY_SETTLED</t>
        </is>
      </c>
      <c r="J13" s="5" t="inlineStr">
        <is>
          <t>False</t>
        </is>
      </c>
      <c r="K13" s="7" t="inlineStr">
        <is>
          <t>Settled in full.</t>
        </is>
      </c>
    </row>
    <row r="14">
      <c r="A14" s="5" t="n">
        <v>2024</v>
      </c>
      <c r="B14" s="5" t="inlineStr">
        <is>
          <t>March</t>
        </is>
      </c>
      <c r="C14" s="5" t="inlineStr">
        <is>
          <t>2024-03</t>
        </is>
      </c>
      <c r="D14" s="6" t="n">
        <v>15395.18</v>
      </c>
      <c r="E14" s="5" t="inlineStr">
        <is>
          <t>31792</t>
        </is>
      </c>
      <c r="F14" s="5" t="inlineStr">
        <is>
          <t>2024-07-09</t>
        </is>
      </c>
      <c r="G14" s="6" t="n">
        <v>15395.18</v>
      </c>
      <c r="H14" s="6" t="n">
        <v>0</v>
      </c>
      <c r="I14" s="5" t="inlineStr">
        <is>
          <t>FULLY_SETTLED</t>
        </is>
      </c>
      <c r="J14" s="5" t="inlineStr">
        <is>
          <t>False</t>
        </is>
      </c>
      <c r="K14" s="7" t="inlineStr">
        <is>
          <t>Settled in full.</t>
        </is>
      </c>
    </row>
    <row r="15">
      <c r="A15" s="5" t="n">
        <v>2024</v>
      </c>
      <c r="B15" s="5" t="inlineStr">
        <is>
          <t>April</t>
        </is>
      </c>
      <c r="C15" s="5" t="inlineStr">
        <is>
          <t>2024-04</t>
        </is>
      </c>
      <c r="D15" s="6" t="n">
        <v>12634.86</v>
      </c>
      <c r="E15" s="5" t="inlineStr">
        <is>
          <t>33810</t>
        </is>
      </c>
      <c r="F15" s="5" t="inlineStr">
        <is>
          <t>2024-09-30</t>
        </is>
      </c>
      <c r="G15" s="6" t="n">
        <v>12634.86</v>
      </c>
      <c r="H15" s="6" t="n">
        <v>0</v>
      </c>
      <c r="I15" s="5" t="inlineStr">
        <is>
          <t>FULLY_SETTLED</t>
        </is>
      </c>
      <c r="J15" s="5" t="inlineStr">
        <is>
          <t>False</t>
        </is>
      </c>
      <c r="K15" s="7" t="inlineStr">
        <is>
          <t>Settled in full.</t>
        </is>
      </c>
    </row>
    <row r="16">
      <c r="A16" s="2" t="n">
        <v>2024</v>
      </c>
      <c r="B16" s="2" t="inlineStr">
        <is>
          <t>May</t>
        </is>
      </c>
      <c r="C16" s="2" t="inlineStr">
        <is>
          <t>2024-05</t>
        </is>
      </c>
      <c r="D16" s="3" t="n">
        <v>18256.94</v>
      </c>
      <c r="E16" s="2" t="inlineStr">
        <is>
          <t>31179</t>
        </is>
      </c>
      <c r="F16" s="2" t="inlineStr">
        <is>
          <t>2024-06-10</t>
        </is>
      </c>
      <c r="G16" s="3" t="n">
        <v>13862.03</v>
      </c>
      <c r="H16" s="3" t="n">
        <v>4394.91</v>
      </c>
      <c r="I16" s="2" t="inlineStr">
        <is>
          <t>PARTIALLY_SETTLED</t>
        </is>
      </c>
      <c r="J16" s="2" t="inlineStr">
        <is>
          <t>False</t>
        </is>
      </c>
      <c r="K16" s="4" t="inlineStr">
        <is>
          <t>Underpaid. R4394.91 remaining unpaid.</t>
        </is>
      </c>
    </row>
    <row r="17">
      <c r="A17" s="5" t="n">
        <v>2024</v>
      </c>
      <c r="B17" s="5" t="inlineStr">
        <is>
          <t>June</t>
        </is>
      </c>
      <c r="C17" s="5" t="inlineStr">
        <is>
          <t>2024-06</t>
        </is>
      </c>
      <c r="D17" s="6" t="n">
        <v>15232.18</v>
      </c>
      <c r="E17" s="5" t="inlineStr">
        <is>
          <t>34425</t>
        </is>
      </c>
      <c r="F17" s="5" t="inlineStr">
        <is>
          <t>2024-10-28</t>
        </is>
      </c>
      <c r="G17" s="6" t="n">
        <v>15232.18</v>
      </c>
      <c r="H17" s="6" t="n">
        <v>0</v>
      </c>
      <c r="I17" s="5" t="inlineStr">
        <is>
          <t>FULLY_SETTLED</t>
        </is>
      </c>
      <c r="J17" s="5" t="inlineStr">
        <is>
          <t>False</t>
        </is>
      </c>
      <c r="K17" s="7" t="inlineStr">
        <is>
          <t>Settled in full.</t>
        </is>
      </c>
    </row>
    <row r="18">
      <c r="A18" s="5" t="n">
        <v>2024</v>
      </c>
      <c r="B18" s="5" t="inlineStr">
        <is>
          <t>July</t>
        </is>
      </c>
      <c r="C18" s="5" t="inlineStr">
        <is>
          <t>2024-07</t>
        </is>
      </c>
      <c r="D18" s="6" t="n">
        <v>15443</v>
      </c>
      <c r="E18" s="5" t="inlineStr">
        <is>
          <t>36139</t>
        </is>
      </c>
      <c r="F18" s="5" t="inlineStr">
        <is>
          <t>2025-01-17</t>
        </is>
      </c>
      <c r="G18" s="6" t="n">
        <v>15443</v>
      </c>
      <c r="H18" s="6" t="n">
        <v>0</v>
      </c>
      <c r="I18" s="5" t="inlineStr">
        <is>
          <t>FULLY_SETTLED</t>
        </is>
      </c>
      <c r="J18" s="5" t="inlineStr">
        <is>
          <t>False</t>
        </is>
      </c>
      <c r="K18" s="7" t="inlineStr">
        <is>
          <t>Settled in full.</t>
        </is>
      </c>
    </row>
    <row r="19">
      <c r="A19" s="5" t="n">
        <v>2024</v>
      </c>
      <c r="B19" s="5" t="inlineStr">
        <is>
          <t>August</t>
        </is>
      </c>
      <c r="C19" s="5" t="inlineStr">
        <is>
          <t>2024-08</t>
        </is>
      </c>
      <c r="D19" s="6" t="n">
        <v>15184.18</v>
      </c>
      <c r="E19" s="5" t="inlineStr">
        <is>
          <t>36988</t>
        </is>
      </c>
      <c r="F19" s="5" t="inlineStr">
        <is>
          <t>2025-02-21</t>
        </is>
      </c>
      <c r="G19" s="6" t="n">
        <v>15184.18</v>
      </c>
      <c r="H19" s="6" t="n">
        <v>-0</v>
      </c>
      <c r="I19" s="5" t="inlineStr">
        <is>
          <t>FULLY_SETTLED</t>
        </is>
      </c>
      <c r="J19" s="5" t="inlineStr">
        <is>
          <t>False</t>
        </is>
      </c>
      <c r="K19" s="7" t="inlineStr">
        <is>
          <t>Settled in full.</t>
        </is>
      </c>
    </row>
    <row r="20">
      <c r="A20" s="11" t="n">
        <v>2024</v>
      </c>
      <c r="B20" s="11" t="inlineStr">
        <is>
          <t>September</t>
        </is>
      </c>
      <c r="C20" s="11" t="inlineStr">
        <is>
          <t>2024-09</t>
        </is>
      </c>
      <c r="D20" s="12" t="n">
        <v>15336.89</v>
      </c>
      <c r="E20" s="11" t="inlineStr">
        <is>
          <t>—</t>
        </is>
      </c>
      <c r="F20" s="11" t="inlineStr">
        <is>
          <t>—</t>
        </is>
      </c>
      <c r="G20" s="12" t="n">
        <v>0</v>
      </c>
      <c r="H20" s="12" t="n">
        <v>15336.89</v>
      </c>
      <c r="I20" s="11" t="inlineStr">
        <is>
          <t>UNPAID</t>
        </is>
      </c>
      <c r="J20" s="11" t="inlineStr">
        <is>
          <t>False</t>
        </is>
      </c>
      <c r="K20" s="13" t="inlineStr">
        <is>
          <t>No payment allocated.</t>
        </is>
      </c>
    </row>
    <row r="21">
      <c r="A21" s="11" t="n">
        <v>2024</v>
      </c>
      <c r="B21" s="11" t="inlineStr">
        <is>
          <t>October</t>
        </is>
      </c>
      <c r="C21" s="11" t="inlineStr">
        <is>
          <t>2024-10</t>
        </is>
      </c>
      <c r="D21" s="12" t="n">
        <v>14025.58</v>
      </c>
      <c r="E21" s="11" t="inlineStr">
        <is>
          <t>—</t>
        </is>
      </c>
      <c r="F21" s="11" t="inlineStr">
        <is>
          <t>—</t>
        </is>
      </c>
      <c r="G21" s="12" t="n">
        <v>0</v>
      </c>
      <c r="H21" s="12" t="n">
        <v>14025.58</v>
      </c>
      <c r="I21" s="11" t="inlineStr">
        <is>
          <t>UNPAID</t>
        </is>
      </c>
      <c r="J21" s="11" t="inlineStr">
        <is>
          <t>False</t>
        </is>
      </c>
      <c r="K21" s="13" t="inlineStr">
        <is>
          <t>No payment allocated.</t>
        </is>
      </c>
    </row>
    <row r="22">
      <c r="A22" s="11" t="n">
        <v>2024</v>
      </c>
      <c r="B22" s="11" t="inlineStr">
        <is>
          <t>November</t>
        </is>
      </c>
      <c r="C22" s="11" t="inlineStr">
        <is>
          <t>2024-11</t>
        </is>
      </c>
      <c r="D22" s="12" t="n">
        <v>12524.85</v>
      </c>
      <c r="E22" s="11" t="inlineStr">
        <is>
          <t>—</t>
        </is>
      </c>
      <c r="F22" s="11" t="inlineStr">
        <is>
          <t>—</t>
        </is>
      </c>
      <c r="G22" s="12" t="n">
        <v>0</v>
      </c>
      <c r="H22" s="12" t="n">
        <v>12524.85</v>
      </c>
      <c r="I22" s="11" t="inlineStr">
        <is>
          <t>UNPAID</t>
        </is>
      </c>
      <c r="J22" s="11" t="inlineStr">
        <is>
          <t>False</t>
        </is>
      </c>
      <c r="K22" s="13" t="inlineStr">
        <is>
          <t>No payment allocated.</t>
        </is>
      </c>
    </row>
    <row r="23">
      <c r="A23" s="5" t="n">
        <v>2024</v>
      </c>
      <c r="B23" s="5" t="inlineStr">
        <is>
          <t>December</t>
        </is>
      </c>
      <c r="C23" s="5" t="inlineStr">
        <is>
          <t>2024-12</t>
        </is>
      </c>
      <c r="D23" s="6" t="n">
        <v>15816.63</v>
      </c>
      <c r="E23" s="5" t="inlineStr">
        <is>
          <t>38481</t>
        </is>
      </c>
      <c r="F23" s="5" t="inlineStr">
        <is>
          <t>2025-05-05</t>
        </is>
      </c>
      <c r="G23" s="6" t="n">
        <v>15816.63</v>
      </c>
      <c r="H23" s="6" t="n">
        <v>0</v>
      </c>
      <c r="I23" s="5" t="inlineStr">
        <is>
          <t>FULLY_SETTLED</t>
        </is>
      </c>
      <c r="J23" s="5" t="inlineStr">
        <is>
          <t>False</t>
        </is>
      </c>
      <c r="K23" s="7" t="inlineStr">
        <is>
          <t>Settled in full.</t>
        </is>
      </c>
    </row>
    <row r="24">
      <c r="A24" s="5" t="n">
        <v>2025</v>
      </c>
      <c r="B24" s="5" t="inlineStr">
        <is>
          <t>January</t>
        </is>
      </c>
      <c r="C24" s="5" t="inlineStr">
        <is>
          <t>2025-01</t>
        </is>
      </c>
      <c r="D24" s="6" t="n">
        <v>17574.84</v>
      </c>
      <c r="E24" s="5" t="inlineStr">
        <is>
          <t>38846,39812</t>
        </is>
      </c>
      <c r="F24" s="5" t="inlineStr">
        <is>
          <t>2025-05-22,2025-06-12</t>
        </is>
      </c>
      <c r="G24" s="6" t="n">
        <v>17574.84</v>
      </c>
      <c r="H24" s="6" t="n">
        <v>0</v>
      </c>
      <c r="I24" s="5" t="inlineStr">
        <is>
          <t>FULLY_SETTLED</t>
        </is>
      </c>
      <c r="J24" s="5" t="inlineStr">
        <is>
          <t>False</t>
        </is>
      </c>
      <c r="K24" s="7" t="inlineStr">
        <is>
          <t>Settled by partial doc 38846 (R7337.97: invoices 39558+39714) + partial doc 39812 (R10236.87 of R20557.69): invoice-level exact match, JIM001_Exact_Sum_Bridge_Review_2026-09-13.md SS5/SS6.</t>
        </is>
      </c>
    </row>
    <row r="25">
      <c r="A25" s="5" t="n">
        <v>2025</v>
      </c>
      <c r="B25" s="5" t="inlineStr">
        <is>
          <t>February</t>
        </is>
      </c>
      <c r="C25" s="5" t="inlineStr">
        <is>
          <t>2025-02</t>
        </is>
      </c>
      <c r="D25" s="6" t="n">
        <v>10320.82</v>
      </c>
      <c r="E25" s="5" t="inlineStr">
        <is>
          <t>39812</t>
        </is>
      </c>
      <c r="F25" s="5" t="inlineStr">
        <is>
          <t>2025-06-12</t>
        </is>
      </c>
      <c r="G25" s="6" t="n">
        <v>10320.82</v>
      </c>
      <c r="H25" s="6" t="n">
        <v>0</v>
      </c>
      <c r="I25" s="5" t="inlineStr">
        <is>
          <t>FULLY_SETTLED</t>
        </is>
      </c>
      <c r="J25" s="5" t="inlineStr">
        <is>
          <t>False</t>
        </is>
      </c>
      <c r="K25" s="7" t="inlineStr">
        <is>
          <t>Settled by remaining portion of doc 39812 (R10320.82 of R20557.69, after R10236.87 applied to Jan-2025): invoice-level exact match, JIM001_Exact_Sum_Bridge_Review_2026-09-13.md SS5/SS6.</t>
        </is>
      </c>
    </row>
    <row r="26">
      <c r="A26" s="5" t="n">
        <v>2025</v>
      </c>
      <c r="B26" s="5" t="inlineStr">
        <is>
          <t>March</t>
        </is>
      </c>
      <c r="C26" s="5" t="inlineStr">
        <is>
          <t>2025-03</t>
        </is>
      </c>
      <c r="D26" s="6" t="n">
        <v>11795.24</v>
      </c>
      <c r="E26" s="5" t="inlineStr">
        <is>
          <t>40063</t>
        </is>
      </c>
      <c r="F26" s="5" t="inlineStr">
        <is>
          <t>2025-07-14</t>
        </is>
      </c>
      <c r="G26" s="6" t="n">
        <v>11795.24</v>
      </c>
      <c r="H26" s="6" t="n">
        <v>0</v>
      </c>
      <c r="I26" s="5" t="inlineStr">
        <is>
          <t>FULLY_SETTLED</t>
        </is>
      </c>
      <c r="J26" s="5" t="inlineStr">
        <is>
          <t>False</t>
        </is>
      </c>
      <c r="K26" s="7" t="inlineStr">
        <is>
          <t>Settled in full.</t>
        </is>
      </c>
    </row>
    <row r="27">
      <c r="A27" s="11" t="n">
        <v>2025</v>
      </c>
      <c r="B27" s="11" t="inlineStr">
        <is>
          <t>April</t>
        </is>
      </c>
      <c r="C27" s="11" t="inlineStr">
        <is>
          <t>2025-04</t>
        </is>
      </c>
      <c r="D27" s="12" t="n">
        <v>21724.53</v>
      </c>
      <c r="E27" s="11" t="inlineStr">
        <is>
          <t>—</t>
        </is>
      </c>
      <c r="F27" s="11" t="inlineStr">
        <is>
          <t>—</t>
        </is>
      </c>
      <c r="G27" s="12" t="n">
        <v>0</v>
      </c>
      <c r="H27" s="12" t="n">
        <v>21724.53</v>
      </c>
      <c r="I27" s="11" t="inlineStr">
        <is>
          <t>UNPAID</t>
        </is>
      </c>
      <c r="J27" s="11" t="inlineStr">
        <is>
          <t>False</t>
        </is>
      </c>
      <c r="K27" s="13" t="inlineStr">
        <is>
          <t>No payment allocated.</t>
        </is>
      </c>
    </row>
    <row r="28">
      <c r="A28" s="11" t="n">
        <v>2025</v>
      </c>
      <c r="B28" s="11" t="inlineStr">
        <is>
          <t>May</t>
        </is>
      </c>
      <c r="C28" s="11" t="inlineStr">
        <is>
          <t>2025-05</t>
        </is>
      </c>
      <c r="D28" s="12" t="n">
        <v>13342.37</v>
      </c>
      <c r="E28" s="11" t="inlineStr">
        <is>
          <t>—</t>
        </is>
      </c>
      <c r="F28" s="11" t="inlineStr">
        <is>
          <t>—</t>
        </is>
      </c>
      <c r="G28" s="12" t="n">
        <v>0</v>
      </c>
      <c r="H28" s="12" t="n">
        <v>13342.37</v>
      </c>
      <c r="I28" s="11" t="inlineStr">
        <is>
          <t>UNPAID</t>
        </is>
      </c>
      <c r="J28" s="11" t="inlineStr">
        <is>
          <t>False</t>
        </is>
      </c>
      <c r="K28" s="13" t="inlineStr">
        <is>
          <t>No payment allocated.</t>
        </is>
      </c>
    </row>
    <row r="29">
      <c r="A29" s="11" t="n">
        <v>2025</v>
      </c>
      <c r="B29" s="11" t="inlineStr">
        <is>
          <t>June</t>
        </is>
      </c>
      <c r="C29" s="11" t="inlineStr">
        <is>
          <t>2025-06</t>
        </is>
      </c>
      <c r="D29" s="12" t="n">
        <v>14618.11</v>
      </c>
      <c r="E29" s="11" t="inlineStr">
        <is>
          <t>—</t>
        </is>
      </c>
      <c r="F29" s="11" t="inlineStr">
        <is>
          <t>—</t>
        </is>
      </c>
      <c r="G29" s="12" t="n">
        <v>0</v>
      </c>
      <c r="H29" s="12" t="n">
        <v>14618.11</v>
      </c>
      <c r="I29" s="11" t="inlineStr">
        <is>
          <t>UNPAID</t>
        </is>
      </c>
      <c r="J29" s="11" t="inlineStr">
        <is>
          <t>False</t>
        </is>
      </c>
      <c r="K29" s="13" t="inlineStr">
        <is>
          <t>No payment allocated. Doc 40746 previously misassigned here via an unconfirmed ERP-ledger invoice-level split; DEFINITIVELY confirmed as July's payment by the raw ERP transaction ledger itself (raw/DEBENQ_CURRENT.TXT: doc 40746 tags 4 full July invoices -- 44516/44707/44933/45091 -- plus tiny boundary cleanups on invoices 43628 (June, R262.54) and 45323 (August, R0.01); 262.54+3115.05+4200.69+4200.69+2800.46+0.01 = R14,579.44 exactly). See JIM001_Exact_Sum_Bridge_Review_2026-09-13.md SS5.</t>
        </is>
      </c>
    </row>
    <row r="30">
      <c r="A30" s="5" t="n">
        <v>2025</v>
      </c>
      <c r="B30" s="5" t="inlineStr">
        <is>
          <t>July</t>
        </is>
      </c>
      <c r="C30" s="5" t="inlineStr">
        <is>
          <t>2025-07</t>
        </is>
      </c>
      <c r="D30" s="6" t="n">
        <v>14579.44</v>
      </c>
      <c r="E30" s="5" t="inlineStr">
        <is>
          <t>40746</t>
        </is>
      </c>
      <c r="F30" s="5" t="inlineStr">
        <is>
          <t>2025-08-22</t>
        </is>
      </c>
      <c r="G30" s="6" t="n">
        <v>14579.44</v>
      </c>
      <c r="H30" s="6" t="n">
        <v>0</v>
      </c>
      <c r="I30" s="5" t="inlineStr">
        <is>
          <t>FULLY_SETTLED</t>
        </is>
      </c>
      <c r="J30" s="5" t="inlineStr">
        <is>
          <t>False</t>
        </is>
      </c>
      <c r="K30" s="7" t="inlineStr">
        <is>
          <t>Settled in full. PROVEN by the raw ERP transaction ledger (raw/DEBENQ_CURRENT.TXT): doc 40746 tags 4 full July invoices by real invoice number (44516, 44707, 44933, 45091), not a reconstruction. This also corrects the earlier ERP_LEDGER/Probable invoice-level split that pointed to June -- that split was never in the real ERP data at all. See JIM001_Exact_Sum_Bridge_Review_2026-09-13.md SS5.</t>
        </is>
      </c>
    </row>
    <row r="31">
      <c r="A31" s="5" t="n">
        <v>2025</v>
      </c>
      <c r="B31" s="5" t="inlineStr">
        <is>
          <t>August</t>
        </is>
      </c>
      <c r="C31" s="5" t="inlineStr">
        <is>
          <t>2025-08</t>
        </is>
      </c>
      <c r="D31" s="6" t="n">
        <v>16601.82</v>
      </c>
      <c r="E31" s="5" t="inlineStr">
        <is>
          <t>41664</t>
        </is>
      </c>
      <c r="F31" s="5" t="inlineStr">
        <is>
          <t>2025-10-14</t>
        </is>
      </c>
      <c r="G31" s="6" t="n">
        <v>16601.81</v>
      </c>
      <c r="H31" s="6" t="n">
        <v>0.01</v>
      </c>
      <c r="I31" s="5" t="inlineStr">
        <is>
          <t>FULLY_SETTLED</t>
        </is>
      </c>
      <c r="J31" s="5" t="inlineStr">
        <is>
          <t>False</t>
        </is>
      </c>
      <c r="K31" s="7" t="inlineStr">
        <is>
          <t>Settled in full.</t>
        </is>
      </c>
    </row>
    <row r="32">
      <c r="A32" s="5" t="n">
        <v>2025</v>
      </c>
      <c r="B32" s="5" t="inlineStr">
        <is>
          <t>September</t>
        </is>
      </c>
      <c r="C32" s="5" t="inlineStr">
        <is>
          <t>2025-09</t>
        </is>
      </c>
      <c r="D32" s="6" t="n">
        <v>13327.87</v>
      </c>
      <c r="E32" s="5" t="inlineStr">
        <is>
          <t>42134</t>
        </is>
      </c>
      <c r="F32" s="5" t="inlineStr">
        <is>
          <t>2025-11-06</t>
        </is>
      </c>
      <c r="G32" s="6" t="n">
        <v>13327.87</v>
      </c>
      <c r="H32" s="6" t="n">
        <v>0</v>
      </c>
      <c r="I32" s="5" t="inlineStr">
        <is>
          <t>FULLY_SETTLED</t>
        </is>
      </c>
      <c r="J32" s="5" t="inlineStr">
        <is>
          <t>True</t>
        </is>
      </c>
      <c r="K32" s="7" t="inlineStr">
        <is>
          <t>[REVIEW_REQUIRED] Inferred from ERP ledger allocations.</t>
        </is>
      </c>
    </row>
    <row r="33">
      <c r="A33" s="5" t="n">
        <v>2025</v>
      </c>
      <c r="B33" s="5" t="inlineStr">
        <is>
          <t>October</t>
        </is>
      </c>
      <c r="C33" s="5" t="inlineStr">
        <is>
          <t>2025-10</t>
        </is>
      </c>
      <c r="D33" s="6" t="n">
        <v>13161.86</v>
      </c>
      <c r="E33" s="5" t="inlineStr">
        <is>
          <t>42788</t>
        </is>
      </c>
      <c r="F33" s="5" t="inlineStr">
        <is>
          <t>2025-12-29</t>
        </is>
      </c>
      <c r="G33" s="6" t="n">
        <v>13161.86</v>
      </c>
      <c r="H33" s="6" t="n">
        <v>0</v>
      </c>
      <c r="I33" s="5" t="inlineStr">
        <is>
          <t>FULLY_SETTLED</t>
        </is>
      </c>
      <c r="J33" s="5" t="inlineStr">
        <is>
          <t>True</t>
        </is>
      </c>
      <c r="K33" s="7" t="inlineStr">
        <is>
          <t>[REVIEW_REQUIRED] Inferred from ERP ledger allocations.</t>
        </is>
      </c>
    </row>
    <row r="34">
      <c r="A34" s="5" t="n">
        <v>2025</v>
      </c>
      <c r="B34" s="5" t="inlineStr">
        <is>
          <t>November</t>
        </is>
      </c>
      <c r="C34" s="5" t="inlineStr">
        <is>
          <t>2025-11</t>
        </is>
      </c>
      <c r="D34" s="6" t="n">
        <v>15578.23</v>
      </c>
      <c r="E34" s="5" t="inlineStr">
        <is>
          <t>43199</t>
        </is>
      </c>
      <c r="F34" s="5" t="inlineStr">
        <is>
          <t>2026-02-05</t>
        </is>
      </c>
      <c r="G34" s="6" t="n">
        <v>15578.23</v>
      </c>
      <c r="H34" s="6" t="n">
        <v>0</v>
      </c>
      <c r="I34" s="5" t="inlineStr">
        <is>
          <t>FULLY_SETTLED</t>
        </is>
      </c>
      <c r="J34" s="5" t="inlineStr">
        <is>
          <t>True</t>
        </is>
      </c>
      <c r="K34" s="7" t="inlineStr">
        <is>
          <t>[REVIEW_REQUIRED] Inferred from ERP ledger allocations.</t>
        </is>
      </c>
    </row>
    <row r="35">
      <c r="A35" s="5" t="n">
        <v>2025</v>
      </c>
      <c r="B35" s="5" t="inlineStr">
        <is>
          <t>December</t>
        </is>
      </c>
      <c r="C35" s="5" t="inlineStr">
        <is>
          <t>2025-12</t>
        </is>
      </c>
      <c r="D35" s="6" t="n">
        <v>11666.11</v>
      </c>
      <c r="E35" s="5" t="inlineStr">
        <is>
          <t>44555</t>
        </is>
      </c>
      <c r="F35" s="5" t="inlineStr">
        <is>
          <t>2026-06-05</t>
        </is>
      </c>
      <c r="G35" s="6" t="n">
        <v>11666.12</v>
      </c>
      <c r="H35" s="6" t="n">
        <v>-0.01</v>
      </c>
      <c r="I35" s="5" t="inlineStr">
        <is>
          <t>FULLY_SETTLED</t>
        </is>
      </c>
      <c r="J35" s="5" t="inlineStr">
        <is>
          <t>False</t>
        </is>
      </c>
      <c r="K35" s="7" t="inlineStr">
        <is>
          <t>Settled (1-cent rounding, immaterial). Allocated per explicit account-owner decision (2026-09-14), closing out the December-2025-vs-March-2026 dispute over doc 44555 in favor of December. Evidence basis is the aggregate-total exact-sum match (11,666.12 vs 11,666.11 net billing) -- this is a DECISION, not a Tier 1/2 proof; no remittance advice exists for doc 44555 either way, and the raw ERP ledger (raw/DEBENQ_CURRENT.TXT) shows it with a BLANK INVNO, i.e. untagged to any invoice, December included. Evidence status: ASSERTED (decision), confidence tier unchanged. See JIM001_Exact_Sum_Bridge_Review_2026-09-13.md SS5.</t>
        </is>
      </c>
    </row>
    <row r="36">
      <c r="A36" s="11" t="n">
        <v>2026</v>
      </c>
      <c r="B36" s="11" t="inlineStr">
        <is>
          <t>January</t>
        </is>
      </c>
      <c r="C36" s="11" t="inlineStr">
        <is>
          <t>2026-01</t>
        </is>
      </c>
      <c r="D36" s="12" t="n">
        <v>14323.09</v>
      </c>
      <c r="E36" s="11" t="inlineStr">
        <is>
          <t>—</t>
        </is>
      </c>
      <c r="F36" s="11" t="inlineStr">
        <is>
          <t>—</t>
        </is>
      </c>
      <c r="G36" s="12" t="n">
        <v>0</v>
      </c>
      <c r="H36" s="12" t="n">
        <v>14323.09</v>
      </c>
      <c r="I36" s="11" t="inlineStr">
        <is>
          <t>UNPAID</t>
        </is>
      </c>
      <c r="J36" s="11" t="inlineStr">
        <is>
          <t>False</t>
        </is>
      </c>
      <c r="K36" s="13" t="inlineStr">
        <is>
          <t>No payment allocated.</t>
        </is>
      </c>
    </row>
    <row r="37">
      <c r="A37" s="11" t="n">
        <v>2026</v>
      </c>
      <c r="B37" s="11" t="inlineStr">
        <is>
          <t>February</t>
        </is>
      </c>
      <c r="C37" s="11" t="inlineStr">
        <is>
          <t>2026-02</t>
        </is>
      </c>
      <c r="D37" s="12" t="n">
        <v>10559.95</v>
      </c>
      <c r="E37" s="11" t="inlineStr">
        <is>
          <t>—</t>
        </is>
      </c>
      <c r="F37" s="11" t="inlineStr">
        <is>
          <t>—</t>
        </is>
      </c>
      <c r="G37" s="12" t="n">
        <v>0</v>
      </c>
      <c r="H37" s="12" t="n">
        <v>10559.95</v>
      </c>
      <c r="I37" s="11" t="inlineStr">
        <is>
          <t>UNPAID</t>
        </is>
      </c>
      <c r="J37" s="11" t="inlineStr">
        <is>
          <t>False</t>
        </is>
      </c>
      <c r="K37" s="13" t="inlineStr">
        <is>
          <t>No payment allocated.</t>
        </is>
      </c>
    </row>
    <row r="38">
      <c r="A38" s="11" t="n">
        <v>2026</v>
      </c>
      <c r="B38" s="11" t="inlineStr">
        <is>
          <t>March</t>
        </is>
      </c>
      <c r="C38" s="11" t="inlineStr">
        <is>
          <t>2026-03</t>
        </is>
      </c>
      <c r="D38" s="12" t="n">
        <v>11937.56</v>
      </c>
      <c r="E38" s="11" t="inlineStr">
        <is>
          <t>—</t>
        </is>
      </c>
      <c r="F38" s="11" t="inlineStr">
        <is>
          <t>—</t>
        </is>
      </c>
      <c r="G38" s="12" t="n">
        <v>0</v>
      </c>
      <c r="H38" s="12" t="n">
        <v>11937.56</v>
      </c>
      <c r="I38" s="11" t="inlineStr">
        <is>
          <t>UNPAID</t>
        </is>
      </c>
      <c r="J38" s="11" t="inlineStr">
        <is>
          <t>False</t>
        </is>
      </c>
      <c r="K38" s="13" t="inlineStr">
        <is>
          <t>No payment allocated. Doc 44555 previously placed here via an unconfirmed ERP-ledger invoice-level split (AL-0359-AL-0361); that split does not exist in the real ERP ledger (raw/DEBENQ_CURRENT.TXT shows doc 44555 with a BLANK INVNO). Per explicit account-owner decision (2026-09-14), doc 44555 is now allocated to December 2025 instead -- see 2025-12's note. March 2026 reverts to genuinely unpaid. See JIM001_Exact_Sum_Bridge_Review_2026-09-13.md SS5.</t>
        </is>
      </c>
    </row>
    <row r="39">
      <c r="A39" s="11" t="n">
        <v>2026</v>
      </c>
      <c r="B39" s="11" t="inlineStr">
        <is>
          <t>April</t>
        </is>
      </c>
      <c r="C39" s="11" t="inlineStr">
        <is>
          <t>2026-04</t>
        </is>
      </c>
      <c r="D39" s="12" t="n">
        <v>14303.99</v>
      </c>
      <c r="E39" s="11" t="inlineStr">
        <is>
          <t>—</t>
        </is>
      </c>
      <c r="F39" s="11" t="inlineStr">
        <is>
          <t>—</t>
        </is>
      </c>
      <c r="G39" s="12" t="n">
        <v>0</v>
      </c>
      <c r="H39" s="12" t="n">
        <v>14303.99</v>
      </c>
      <c r="I39" s="11" t="inlineStr">
        <is>
          <t>UNPAID</t>
        </is>
      </c>
      <c r="J39" s="11" t="inlineStr">
        <is>
          <t>False</t>
        </is>
      </c>
      <c r="K39" s="13" t="inlineStr">
        <is>
          <t>No payment allocated.</t>
        </is>
      </c>
    </row>
    <row r="40">
      <c r="A40" s="11" t="n">
        <v>2026</v>
      </c>
      <c r="B40" s="11" t="inlineStr">
        <is>
          <t>May</t>
        </is>
      </c>
      <c r="C40" s="11" t="inlineStr">
        <is>
          <t>2026-05</t>
        </is>
      </c>
      <c r="D40" s="12" t="n">
        <v>21274.86</v>
      </c>
      <c r="E40" s="11" t="inlineStr">
        <is>
          <t>—</t>
        </is>
      </c>
      <c r="F40" s="11" t="inlineStr">
        <is>
          <t>—</t>
        </is>
      </c>
      <c r="G40" s="12" t="n">
        <v>0</v>
      </c>
      <c r="H40" s="12" t="n">
        <v>21274.86</v>
      </c>
      <c r="I40" s="11" t="inlineStr">
        <is>
          <t>UNPAID</t>
        </is>
      </c>
      <c r="J40" s="11" t="inlineStr">
        <is>
          <t>False</t>
        </is>
      </c>
      <c r="K40" s="13" t="inlineStr">
        <is>
          <t>No payment allocated.</t>
        </is>
      </c>
    </row>
    <row r="41">
      <c r="A41" s="14" t="n"/>
      <c r="B41" s="14" t="n"/>
      <c r="C41" s="14" t="inlineStr">
        <is>
          <t>TOTAL</t>
        </is>
      </c>
      <c r="D41" s="15">
        <f>SUM(D2:D40)</f>
        <v/>
      </c>
      <c r="E41" s="14" t="n"/>
      <c r="F41" s="14" t="n"/>
      <c r="G41" s="15">
        <f>SUM(G2:G40)</f>
        <v/>
      </c>
      <c r="H41" s="15">
        <f>SUM(H2:H40)</f>
        <v/>
      </c>
      <c r="I41" s="14" t="n"/>
      <c r="J41" s="14" t="n"/>
      <c r="K41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6" t="inlineStr">
        <is>
          <t>JIM001 — LPG Reconciliation v4 (Revised, 2023-03 onward)</t>
        </is>
      </c>
    </row>
    <row r="2">
      <c r="A2" s="17" t="inlineStr">
        <is>
          <t>Source: monthly_lpg_insights.csv only (not invoices.csv/payments.csv raw ledgers, not JIM001_LPG_Reconciliation_v4's original Google-Sheet-derived structure).</t>
        </is>
      </c>
    </row>
    <row r="3">
      <c r="A3" s="17" t="inlineStr">
        <is>
          <t>Period: 2023-03 through 2026-05 (39 months).</t>
        </is>
      </c>
    </row>
    <row r="4">
      <c r="A4" s="17" t="inlineStr">
        <is>
          <t>Generated 2026-09-15.</t>
        </is>
      </c>
    </row>
    <row r="6">
      <c r="A6" s="16" t="inlineStr">
        <is>
          <t>Reconciliation totals</t>
        </is>
      </c>
    </row>
    <row r="7">
      <c r="A7" s="17" t="inlineStr">
        <is>
          <t>Total net LPG invoiced</t>
        </is>
      </c>
      <c r="B7" s="15">
        <f>'Monthly LPG Insights (2023-03+)'!D41</f>
        <v/>
      </c>
    </row>
    <row r="8">
      <c r="A8" s="17" t="inlineStr">
        <is>
          <t>Total payment allocated</t>
        </is>
      </c>
      <c r="B8" s="15">
        <f>'Monthly LPG Insights (2023-03+)'!G41</f>
        <v/>
      </c>
    </row>
    <row r="9">
      <c r="A9" s="17" t="inlineStr">
        <is>
          <t>Total difference (net unpaid)</t>
        </is>
      </c>
      <c r="B9" s="15">
        <f>'Monthly LPG Insights (2023-03+)'!H41</f>
        <v/>
      </c>
    </row>
    <row r="11">
      <c r="A11" s="16" t="inlineStr">
        <is>
          <t>Months by status</t>
        </is>
      </c>
    </row>
    <row r="12">
      <c r="A12" s="17" t="inlineStr">
        <is>
          <t>FULLY_SETTLED</t>
        </is>
      </c>
      <c r="B12" s="17" t="n">
        <v>23</v>
      </c>
    </row>
    <row r="13">
      <c r="A13" s="17" t="inlineStr">
        <is>
          <t>PARTIALLY_SETTLED</t>
        </is>
      </c>
      <c r="B13" s="17" t="n">
        <v>4</v>
      </c>
    </row>
    <row r="14">
      <c r="A14" s="17" t="inlineStr">
        <is>
          <t>UNPAID</t>
        </is>
      </c>
      <c r="B14" s="17" t="n">
        <v>11</v>
      </c>
    </row>
    <row r="15">
      <c r="A15" s="17" t="inlineStr">
        <is>
          <t>OVERPAID</t>
        </is>
      </c>
      <c r="B15" s="17" t="n">
        <v>1</v>
      </c>
    </row>
    <row r="17">
      <c r="A17" s="16" t="inlineStr">
        <is>
          <t>Evidence note</t>
        </is>
      </c>
    </row>
    <row r="18" ht="60" customHeight="1">
      <c r="A18" s="18" t="inlineStr">
        <is>
          <t>Figures here are exactly as recorded in monthly_lpg_insights.csv as of 2026-09-15 -- including the resolved 2025-01/02 (docs 38846/39812), 2025-07 (doc 40746, PROVEN Tier 2), and 2025-12 (doc 44555, account-owner decision, not independently proven) entries. See JIM001_Exact_Sum_Bridge_Review_2026-09-13.md for full evidence-tier detail per month; do not treat this workbook as a higher evidence tier than that report.</t>
        </is>
      </c>
    </row>
  </sheetData>
  <mergeCells count="1"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2026-09-15T08:41:47Z</dcterms:created>
  <dcterms:modified xsi:type="dcterms:W3CDTF">2026-09-15T08:41:47Z</dcterms:modified>
</cp:coreProperties>
</file>