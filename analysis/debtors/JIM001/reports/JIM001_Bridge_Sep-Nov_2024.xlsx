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idge" sheetId="1" state="visible" r:id="rId1"/>
    <sheet name="Invoice detail" sheetId="2" state="visible" r:id="rId2"/>
  </sheets>
  <definedNames/>
  <calcPr calcId="124519" fullCalcOnLoad="1"/>
</workbook>
</file>

<file path=xl/styles.xml><?xml version="1.0" encoding="utf-8"?>
<styleSheet xmlns="http://schemas.openxmlformats.org/spreadsheetml/2006/main">
  <numFmts count="1">
    <numFmt numFmtId="164" formatCode="R#,##0.00;[Red]-R#,##0.00;&quot;—&quot;"/>
  </numFmts>
  <fonts count="5">
    <font>
      <name val="Calibri"/>
      <family val="2"/>
      <color theme="1"/>
      <sz val="11"/>
      <scheme val="minor"/>
    </font>
    <font>
      <name val="Arial"/>
      <b val="1"/>
      <sz val="13"/>
    </font>
    <font>
      <name val="Arial"/>
    </font>
    <font>
      <name val="Arial"/>
      <b val="1"/>
      <color rgb="00FFFFFF"/>
    </font>
    <font>
      <name val="Arial"/>
      <b val="1"/>
    </font>
  </fonts>
  <fills count="5">
    <fill>
      <patternFill/>
    </fill>
    <fill>
      <patternFill patternType="gray125"/>
    </fill>
    <fill>
      <patternFill patternType="solid">
        <fgColor rgb="001F4E78"/>
      </patternFill>
    </fill>
    <fill>
      <patternFill patternType="solid">
        <fgColor rgb="00D9EAD3"/>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wrapText="1"/>
    </xf>
    <xf numFmtId="0" fontId="2" fillId="3" borderId="0" pivotButton="0" quotePrefix="0" xfId="0"/>
    <xf numFmtId="164" fontId="2" fillId="3" borderId="0" pivotButton="0" quotePrefix="0" xfId="0"/>
    <xf numFmtId="0" fontId="4" fillId="0" borderId="0" pivotButton="0" quotePrefix="0" xfId="0"/>
    <xf numFmtId="164" fontId="4" fillId="0" borderId="0" pivotButton="0" quotePrefix="0" xfId="0"/>
    <xf numFmtId="0" fontId="2" fillId="4" borderId="0" pivotButton="0" quotePrefix="0" xfId="0"/>
    <xf numFmtId="164" fontId="2" fillId="4"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0" customWidth="1" min="1" max="1"/>
    <col width="17" customWidth="1" min="2" max="2"/>
    <col width="17" customWidth="1" min="3" max="3"/>
    <col width="17" customWidth="1" min="4" max="4"/>
  </cols>
  <sheetData>
    <row r="1">
      <c r="A1" s="1" t="inlineStr">
        <is>
          <t>JIM001 — Invoice vs Payment Bridge: September–November 2024</t>
        </is>
      </c>
    </row>
    <row r="2">
      <c r="A2" s="2" t="inlineStr">
        <is>
          <t>ERP-PROVEN. Allocation taken from the ERP's View Payment Allocations screens (receipts 36139, 36988), supplied 2026-09-15.</t>
        </is>
      </c>
    </row>
    <row r="4">
      <c r="A4" s="1" t="inlineStr">
        <is>
          <t>VIEW A — invoices BILLED in the period, and what settled them</t>
        </is>
      </c>
    </row>
    <row r="5">
      <c r="A5" s="3" t="inlineStr"/>
      <c r="B5" s="3" t="inlineStr">
        <is>
          <t>Net LPG billed</t>
        </is>
      </c>
      <c r="C5" s="3" t="inlineStr">
        <is>
          <t>Allocated to it</t>
        </is>
      </c>
      <c r="D5" s="3" t="inlineStr">
        <is>
          <t>Unpaid</t>
        </is>
      </c>
    </row>
    <row r="6">
      <c r="A6" s="4" t="inlineStr">
        <is>
          <t>2024-09  (September 2024)</t>
        </is>
      </c>
      <c r="B6" s="5" t="n">
        <v>15336.89</v>
      </c>
      <c r="C6" s="5" t="n">
        <v>15336.89</v>
      </c>
      <c r="D6" s="5" t="n">
        <v>-0</v>
      </c>
    </row>
    <row r="7">
      <c r="A7" s="4" t="inlineStr">
        <is>
          <t>2024-10  (October 2024)</t>
        </is>
      </c>
      <c r="B7" s="5" t="n">
        <v>14025.58</v>
      </c>
      <c r="C7" s="5" t="n">
        <v>14025.58</v>
      </c>
      <c r="D7" s="5" t="n">
        <v>0</v>
      </c>
    </row>
    <row r="8">
      <c r="A8" s="4" t="inlineStr">
        <is>
          <t>2024-11  (November 2024)</t>
        </is>
      </c>
      <c r="B8" s="5" t="n">
        <v>12524.85</v>
      </c>
      <c r="C8" s="5" t="n">
        <v>12524.84</v>
      </c>
      <c r="D8" s="5" t="n">
        <v>0.01</v>
      </c>
    </row>
    <row r="9">
      <c r="A9" s="6" t="inlineStr">
        <is>
          <t>TOTAL</t>
        </is>
      </c>
      <c r="B9" s="7">
        <f>SUM(B6:B8)</f>
        <v/>
      </c>
      <c r="C9" s="7">
        <f>SUM(C6:C8)</f>
        <v/>
      </c>
      <c r="D9" s="7">
        <f>SUM(D6:D8)</f>
        <v/>
      </c>
    </row>
    <row r="11">
      <c r="A11" s="1" t="inlineStr">
        <is>
          <t>VIEW B — cash BANKED in the period, and what it actually settled</t>
        </is>
      </c>
    </row>
    <row r="12">
      <c r="A12" s="3" t="inlineStr"/>
      <c r="B12" s="3" t="inlineStr">
        <is>
          <t>Original amount</t>
        </is>
      </c>
      <c r="C12" s="3" t="inlineStr">
        <is>
          <t>Allocated</t>
        </is>
      </c>
      <c r="D12" s="3" t="inlineStr">
        <is>
          <t>Unallocated</t>
        </is>
      </c>
    </row>
    <row r="13">
      <c r="A13" s="8" t="inlineStr">
        <is>
          <t>doc 33810  (2024-09-30)  —  settles late-May + all June 2024</t>
        </is>
      </c>
      <c r="B13" s="9" t="n">
        <v>20232.18</v>
      </c>
      <c r="C13" s="9" t="n">
        <v>20232.18</v>
      </c>
      <c r="D13" s="9" t="n">
        <v>0</v>
      </c>
    </row>
    <row r="14">
      <c r="A14" s="8" t="inlineStr">
        <is>
          <t>doc 34425  (2024-10-28)  —  settles May stragglers + all July 2024</t>
        </is>
      </c>
      <c r="B14" s="9" t="n">
        <v>20443</v>
      </c>
      <c r="C14" s="9" t="n">
        <v>20443</v>
      </c>
      <c r="D14" s="9" t="n">
        <v>0</v>
      </c>
    </row>
    <row r="15">
      <c r="A15" s="2" t="inlineStr">
        <is>
          <t>November 2024 — no cash banked</t>
        </is>
      </c>
    </row>
    <row r="16">
      <c r="A16" s="6" t="inlineStr">
        <is>
          <t>TOTAL banked in the period</t>
        </is>
      </c>
      <c r="B16" s="7">
        <f>SUM(B13:B14)</f>
        <v/>
      </c>
      <c r="C16" s="7">
        <f>SUM(C13:C14)</f>
        <v/>
      </c>
      <c r="D16" s="7">
        <f>SUM(D13:D14)</f>
        <v/>
      </c>
    </row>
    <row r="18">
      <c r="A18" s="1" t="inlineStr">
        <is>
          <t>The two receipts that DID settle the period</t>
        </is>
      </c>
    </row>
    <row r="19">
      <c r="A19" s="3" t="inlineStr"/>
      <c r="B19" s="3" t="inlineStr">
        <is>
          <t>Original amount</t>
        </is>
      </c>
      <c r="C19" s="3" t="inlineStr">
        <is>
          <t>Allocated</t>
        </is>
      </c>
      <c r="D19" s="3" t="inlineStr">
        <is>
          <t>Unallocated</t>
        </is>
      </c>
    </row>
    <row r="20">
      <c r="A20" s="4" t="inlineStr">
        <is>
          <t>doc 36139  (2025-01-17)  —  all Sept + part of Oct</t>
        </is>
      </c>
      <c r="B20" s="5" t="n">
        <v>22336.89</v>
      </c>
      <c r="C20" s="5" t="n">
        <v>22336.89</v>
      </c>
      <c r="D20" s="5" t="n">
        <v>0</v>
      </c>
    </row>
    <row r="21">
      <c r="A21" s="4" t="inlineStr">
        <is>
          <t>doc 36988  (2025-02-21)  —  rest of Oct + all Nov</t>
        </is>
      </c>
      <c r="B21" s="5" t="n">
        <v>19550.42</v>
      </c>
      <c r="C21" s="5" t="n">
        <v>19550.42</v>
      </c>
      <c r="D21" s="5" t="n">
        <v>0</v>
      </c>
    </row>
    <row r="22">
      <c r="A22" s="6" t="inlineStr">
        <is>
          <t>TOTAL</t>
        </is>
      </c>
      <c r="B22" s="7">
        <f>SUM(B20:B21)</f>
        <v/>
      </c>
      <c r="C22" s="7">
        <f>SUM(C20:C21)</f>
        <v/>
      </c>
      <c r="D22" s="7">
        <f>SUM(D20:D21)</f>
        <v/>
      </c>
    </row>
    <row r="24" ht="92" customHeight="1">
      <c r="A24" s="10" t="inlineStr">
        <is>
          <t>Why two views: on this account the cash banked inside a period is not the cash that settles that period. Collections run roughly 100–190 days behind, so Sept–Nov 2024's invoices were settled in Jan and Feb 2025, while the cash banked during Sept–Nov 2024 was clearing the May–July 2024 backlog. Reading only View B is what produced the earlier, wrong conclusion that these three months were unpaid. Both receipts are 100% allocated — there is no unallocated cash here. The R0.01 on November is rounding on the final invoice.</t>
        </is>
      </c>
    </row>
  </sheetData>
  <mergeCells count="1">
    <mergeCell ref="A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13" customWidth="1" min="3" max="3"/>
    <col width="16" customWidth="1" min="4" max="4"/>
    <col width="17" customWidth="1" min="5" max="5"/>
    <col width="17" customWidth="1" min="6" max="6"/>
    <col width="13" customWidth="1" min="7" max="7"/>
    <col width="15" customWidth="1" min="8" max="8"/>
    <col width="30" customWidth="1" min="9" max="9"/>
  </cols>
  <sheetData>
    <row r="1">
      <c r="A1" s="3" t="inlineStr">
        <is>
          <t>Billing month</t>
        </is>
      </c>
      <c r="B1" s="3" t="inlineStr">
        <is>
          <t>Invoice #</t>
        </is>
      </c>
      <c r="C1" s="3" t="inlineStr">
        <is>
          <t>Invoice date</t>
        </is>
      </c>
      <c r="D1" s="3" t="inlineStr">
        <is>
          <t>Customer ref</t>
        </is>
      </c>
      <c r="E1" s="3" t="inlineStr">
        <is>
          <t>Invoice amount (R)</t>
        </is>
      </c>
      <c r="F1" s="3" t="inlineStr">
        <is>
          <t>Settled by receipt</t>
        </is>
      </c>
      <c r="G1" s="3" t="inlineStr">
        <is>
          <t>Receipt date</t>
        </is>
      </c>
      <c r="H1" s="3" t="inlineStr">
        <is>
          <t>Allocated (R)</t>
        </is>
      </c>
      <c r="I1" s="3" t="inlineStr">
        <is>
          <t>Status</t>
        </is>
      </c>
    </row>
    <row r="2">
      <c r="A2" s="4" t="inlineStr">
        <is>
          <t>2024-09</t>
        </is>
      </c>
      <c r="B2" s="4" t="inlineStr">
        <is>
          <t>35961</t>
        </is>
      </c>
      <c r="C2" s="4" t="inlineStr">
        <is>
          <t>2024-09-05</t>
        </is>
      </c>
      <c r="D2" s="4" t="inlineStr">
        <is>
          <t>D/N 11563</t>
        </is>
      </c>
      <c r="E2" s="5" t="n">
        <v>1380.38</v>
      </c>
      <c r="F2" s="4" t="inlineStr">
        <is>
          <t>36139</t>
        </is>
      </c>
      <c r="G2" s="4" t="inlineStr">
        <is>
          <t>2025-01-17</t>
        </is>
      </c>
      <c r="H2" s="5" t="n">
        <v>1380.38</v>
      </c>
      <c r="I2" s="4" t="inlineStr">
        <is>
          <t>settled in full</t>
        </is>
      </c>
    </row>
    <row r="3">
      <c r="A3" s="4" t="inlineStr">
        <is>
          <t>2024-09</t>
        </is>
      </c>
      <c r="B3" s="4" t="inlineStr">
        <is>
          <t>35990</t>
        </is>
      </c>
      <c r="C3" s="4" t="inlineStr">
        <is>
          <t>2024-09-06</t>
        </is>
      </c>
      <c r="D3" s="4" t="inlineStr">
        <is>
          <t>DN#11567</t>
        </is>
      </c>
      <c r="E3" s="5" t="n">
        <v>2760.76</v>
      </c>
      <c r="F3" s="4" t="inlineStr">
        <is>
          <t>36139</t>
        </is>
      </c>
      <c r="G3" s="4" t="inlineStr">
        <is>
          <t>2025-01-17</t>
        </is>
      </c>
      <c r="H3" s="5" t="n">
        <v>2760.76</v>
      </c>
      <c r="I3" s="4" t="inlineStr">
        <is>
          <t>settled in full</t>
        </is>
      </c>
    </row>
    <row r="4">
      <c r="A4" s="4" t="inlineStr">
        <is>
          <t>2024-09</t>
        </is>
      </c>
      <c r="B4" s="4" t="inlineStr">
        <is>
          <t>36191</t>
        </is>
      </c>
      <c r="C4" s="4" t="inlineStr">
        <is>
          <t>2024-09-12</t>
        </is>
      </c>
      <c r="D4" s="4" t="inlineStr">
        <is>
          <t>D/N 11584</t>
        </is>
      </c>
      <c r="E4" s="5" t="n">
        <v>4358.65</v>
      </c>
      <c r="F4" s="4" t="inlineStr">
        <is>
          <t>36139</t>
        </is>
      </c>
      <c r="G4" s="4" t="inlineStr">
        <is>
          <t>2025-01-17</t>
        </is>
      </c>
      <c r="H4" s="5" t="n">
        <v>4358.65</v>
      </c>
      <c r="I4" s="4" t="inlineStr">
        <is>
          <t>settled in full</t>
        </is>
      </c>
    </row>
    <row r="5">
      <c r="A5" s="4" t="inlineStr">
        <is>
          <t>2024-09</t>
        </is>
      </c>
      <c r="B5" s="4" t="inlineStr">
        <is>
          <t>36395</t>
        </is>
      </c>
      <c r="C5" s="4" t="inlineStr">
        <is>
          <t>2024-09-18</t>
        </is>
      </c>
      <c r="D5" s="4" t="inlineStr">
        <is>
          <t>DN#11481</t>
        </is>
      </c>
      <c r="E5" s="5" t="n">
        <v>4102.26</v>
      </c>
      <c r="F5" s="4" t="inlineStr">
        <is>
          <t>36139</t>
        </is>
      </c>
      <c r="G5" s="4" t="inlineStr">
        <is>
          <t>2025-01-17</t>
        </is>
      </c>
      <c r="H5" s="5" t="n">
        <v>4102.26</v>
      </c>
      <c r="I5" s="4" t="inlineStr">
        <is>
          <t>settled in full</t>
        </is>
      </c>
    </row>
    <row r="6">
      <c r="A6" s="4" t="inlineStr">
        <is>
          <t>2024-09</t>
        </is>
      </c>
      <c r="B6" s="4" t="inlineStr">
        <is>
          <t>36680</t>
        </is>
      </c>
      <c r="C6" s="4" t="inlineStr">
        <is>
          <t>2024-09-26</t>
        </is>
      </c>
      <c r="D6" s="4" t="inlineStr">
        <is>
          <t>DN#11646</t>
        </is>
      </c>
      <c r="E6" s="5" t="n">
        <v>2734.84</v>
      </c>
      <c r="F6" s="4" t="inlineStr">
        <is>
          <t>36139</t>
        </is>
      </c>
      <c r="G6" s="4" t="inlineStr">
        <is>
          <t>2025-01-17</t>
        </is>
      </c>
      <c r="H6" s="5" t="n">
        <v>2734.84</v>
      </c>
      <c r="I6" s="4" t="inlineStr">
        <is>
          <t>settled in full</t>
        </is>
      </c>
    </row>
    <row r="7">
      <c r="A7" s="4" t="inlineStr">
        <is>
          <t>2024-10</t>
        </is>
      </c>
      <c r="B7" s="4" t="inlineStr">
        <is>
          <t>37020</t>
        </is>
      </c>
      <c r="C7" s="4" t="inlineStr">
        <is>
          <t>2024-10-05</t>
        </is>
      </c>
      <c r="D7" s="4" t="inlineStr">
        <is>
          <t>DN#10397</t>
        </is>
      </c>
      <c r="E7" s="5" t="n">
        <v>2753.48</v>
      </c>
      <c r="F7" s="4" t="inlineStr">
        <is>
          <t>36139</t>
        </is>
      </c>
      <c r="G7" s="4" t="inlineStr">
        <is>
          <t>2025-01-17</t>
        </is>
      </c>
      <c r="H7" s="5" t="n">
        <v>2753.48</v>
      </c>
      <c r="I7" s="4" t="inlineStr">
        <is>
          <t>settled in full</t>
        </is>
      </c>
    </row>
    <row r="8">
      <c r="A8" s="4" t="inlineStr">
        <is>
          <t>2024-10</t>
        </is>
      </c>
      <c r="B8" s="4" t="inlineStr">
        <is>
          <t>37216</t>
        </is>
      </c>
      <c r="C8" s="4" t="inlineStr">
        <is>
          <t>2024-10-11</t>
        </is>
      </c>
      <c r="D8" s="4" t="inlineStr">
        <is>
          <t>DN#10210</t>
        </is>
      </c>
      <c r="E8" s="5" t="n">
        <v>2753.49</v>
      </c>
      <c r="F8" s="4" t="inlineStr">
        <is>
          <t>36139</t>
        </is>
      </c>
      <c r="G8" s="4" t="inlineStr">
        <is>
          <t>2025-01-17</t>
        </is>
      </c>
      <c r="H8" s="5" t="n">
        <v>2753.49</v>
      </c>
      <c r="I8" s="4" t="inlineStr">
        <is>
          <t>settled in full</t>
        </is>
      </c>
    </row>
    <row r="9">
      <c r="A9" s="8" t="inlineStr">
        <is>
          <t>2024-10</t>
        </is>
      </c>
      <c r="B9" s="8" t="inlineStr">
        <is>
          <t>37363</t>
        </is>
      </c>
      <c r="C9" s="8" t="inlineStr">
        <is>
          <t>2024-10-17</t>
        </is>
      </c>
      <c r="D9" s="8" t="inlineStr">
        <is>
          <t>DN#10134</t>
        </is>
      </c>
      <c r="E9" s="9" t="n">
        <v>2753.49</v>
      </c>
      <c r="F9" s="8" t="inlineStr">
        <is>
          <t>36139</t>
        </is>
      </c>
      <c r="G9" s="8" t="inlineStr">
        <is>
          <t>2025-01-17</t>
        </is>
      </c>
      <c r="H9" s="9" t="n">
        <v>1493.03</v>
      </c>
      <c r="I9" s="8" t="inlineStr">
        <is>
          <t>part — split across two receipts</t>
        </is>
      </c>
    </row>
    <row r="10">
      <c r="A10" s="8" t="inlineStr">
        <is>
          <t>2024-10</t>
        </is>
      </c>
      <c r="B10" s="8" t="inlineStr">
        <is>
          <t>37363</t>
        </is>
      </c>
      <c r="C10" s="8" t="inlineStr">
        <is>
          <t>2024-10-17</t>
        </is>
      </c>
      <c r="D10" s="8" t="inlineStr">
        <is>
          <t>DN#10134</t>
        </is>
      </c>
      <c r="E10" s="9" t="n">
        <v>2753.49</v>
      </c>
      <c r="F10" s="8" t="inlineStr">
        <is>
          <t>36988</t>
        </is>
      </c>
      <c r="G10" s="8" t="inlineStr">
        <is>
          <t>2025-02-21</t>
        </is>
      </c>
      <c r="H10" s="9" t="n">
        <v>1260.46</v>
      </c>
      <c r="I10" s="8" t="inlineStr">
        <is>
          <t>part — split across two receipts</t>
        </is>
      </c>
    </row>
    <row r="11">
      <c r="A11" s="4" t="inlineStr">
        <is>
          <t>2024-10</t>
        </is>
      </c>
      <c r="B11" s="4" t="inlineStr">
        <is>
          <t>37619</t>
        </is>
      </c>
      <c r="C11" s="4" t="inlineStr">
        <is>
          <t>2024-10-25</t>
        </is>
      </c>
      <c r="D11" s="4" t="inlineStr">
        <is>
          <t>DN#11151</t>
        </is>
      </c>
      <c r="E11" s="5" t="n">
        <v>3011.63</v>
      </c>
      <c r="F11" s="4" t="inlineStr">
        <is>
          <t>36988</t>
        </is>
      </c>
      <c r="G11" s="4" t="inlineStr">
        <is>
          <t>2025-02-21</t>
        </is>
      </c>
      <c r="H11" s="5" t="n">
        <v>3011.63</v>
      </c>
      <c r="I11" s="4" t="inlineStr">
        <is>
          <t>settled in full</t>
        </is>
      </c>
    </row>
    <row r="12">
      <c r="A12" s="4" t="inlineStr">
        <is>
          <t>2024-10</t>
        </is>
      </c>
      <c r="B12" s="4" t="inlineStr">
        <is>
          <t>37799</t>
        </is>
      </c>
      <c r="C12" s="4" t="inlineStr">
        <is>
          <t>2024-10-31</t>
        </is>
      </c>
      <c r="D12" s="4" t="inlineStr">
        <is>
          <t>D/N 10285</t>
        </is>
      </c>
      <c r="E12" s="5" t="n">
        <v>2753.49</v>
      </c>
      <c r="F12" s="4" t="inlineStr">
        <is>
          <t>36988</t>
        </is>
      </c>
      <c r="G12" s="4" t="inlineStr">
        <is>
          <t>2025-02-21</t>
        </is>
      </c>
      <c r="H12" s="5" t="n">
        <v>2753.49</v>
      </c>
      <c r="I12" s="4" t="inlineStr">
        <is>
          <t>settled in full</t>
        </is>
      </c>
    </row>
    <row r="13">
      <c r="A13" s="4" t="inlineStr">
        <is>
          <t>2024-11</t>
        </is>
      </c>
      <c r="B13" s="4" t="inlineStr">
        <is>
          <t>38040</t>
        </is>
      </c>
      <c r="C13" s="4" t="inlineStr">
        <is>
          <t>2024-11-07</t>
        </is>
      </c>
      <c r="D13" s="4" t="inlineStr">
        <is>
          <t>DN#11184</t>
        </is>
      </c>
      <c r="E13" s="5" t="n">
        <v>4174.95</v>
      </c>
      <c r="F13" s="4" t="inlineStr">
        <is>
          <t>36988</t>
        </is>
      </c>
      <c r="G13" s="4" t="inlineStr">
        <is>
          <t>2025-02-21</t>
        </is>
      </c>
      <c r="H13" s="5" t="n">
        <v>4174.95</v>
      </c>
      <c r="I13" s="4" t="inlineStr">
        <is>
          <t>settled in full</t>
        </is>
      </c>
    </row>
    <row r="14">
      <c r="A14" s="4" t="inlineStr">
        <is>
          <t>2024-11</t>
        </is>
      </c>
      <c r="B14" s="4" t="inlineStr">
        <is>
          <t>38266</t>
        </is>
      </c>
      <c r="C14" s="4" t="inlineStr">
        <is>
          <t>2024-11-14</t>
        </is>
      </c>
      <c r="D14" s="4" t="inlineStr">
        <is>
          <t>DN#11213</t>
        </is>
      </c>
      <c r="E14" s="5" t="n">
        <v>2783.3</v>
      </c>
      <c r="F14" s="4" t="inlineStr">
        <is>
          <t>36988</t>
        </is>
      </c>
      <c r="G14" s="4" t="inlineStr">
        <is>
          <t>2025-02-21</t>
        </is>
      </c>
      <c r="H14" s="5" t="n">
        <v>2783.3</v>
      </c>
      <c r="I14" s="4" t="inlineStr">
        <is>
          <t>settled in full</t>
        </is>
      </c>
    </row>
    <row r="15">
      <c r="A15" s="4" t="inlineStr">
        <is>
          <t>2024-11</t>
        </is>
      </c>
      <c r="B15" s="4" t="inlineStr">
        <is>
          <t>38456</t>
        </is>
      </c>
      <c r="C15" s="4" t="inlineStr">
        <is>
          <t>2024-11-21</t>
        </is>
      </c>
      <c r="D15" s="4" t="inlineStr">
        <is>
          <t>DN#10350</t>
        </is>
      </c>
      <c r="E15" s="5" t="n">
        <v>2783.3</v>
      </c>
      <c r="F15" s="4" t="inlineStr">
        <is>
          <t>36988</t>
        </is>
      </c>
      <c r="G15" s="4" t="inlineStr">
        <is>
          <t>2025-02-21</t>
        </is>
      </c>
      <c r="H15" s="5" t="n">
        <v>2783.3</v>
      </c>
      <c r="I15" s="4" t="inlineStr">
        <is>
          <t>settled in full</t>
        </is>
      </c>
    </row>
    <row r="16">
      <c r="A16" s="4" t="inlineStr">
        <is>
          <t>2024-11</t>
        </is>
      </c>
      <c r="B16" s="4" t="inlineStr">
        <is>
          <t>38664</t>
        </is>
      </c>
      <c r="C16" s="4" t="inlineStr">
        <is>
          <t>2024-11-29</t>
        </is>
      </c>
      <c r="D16" s="4" t="inlineStr">
        <is>
          <t>D/N 11242</t>
        </is>
      </c>
      <c r="E16" s="5" t="n">
        <v>2783.3</v>
      </c>
      <c r="F16" s="4" t="inlineStr">
        <is>
          <t>36988</t>
        </is>
      </c>
      <c r="G16" s="4" t="inlineStr">
        <is>
          <t>2025-02-21</t>
        </is>
      </c>
      <c r="H16" s="5" t="n">
        <v>2783.29</v>
      </c>
      <c r="I16" s="4" t="inlineStr">
        <is>
          <t>settled in full</t>
        </is>
      </c>
    </row>
    <row r="17">
      <c r="D17" s="6" t="inlineStr">
        <is>
          <t>TOTAL</t>
        </is>
      </c>
      <c r="E17" s="7">
        <f>SUM(E2:E16)</f>
        <v/>
      </c>
      <c r="H17" s="7">
        <f>SUM(H2:H16)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2026-09-15T15:08:26Z</dcterms:created>
  <dcterms:modified xsi:type="dcterms:W3CDTF">2026-09-15T15:08:26Z</dcterms:modified>
</cp:coreProperties>
</file>