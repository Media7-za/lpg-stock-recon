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G only Invoices" sheetId="1" state="visible" r:id="rId1"/>
    <sheet name="Payment unallocated (actual)" sheetId="2" state="visible" r:id="rId2"/>
    <sheet name="Monthly Matches" sheetId="3" state="visible" r:id="rId3"/>
    <sheet name="Open Invoices by Month" sheetId="4" state="visible" r:id="rId4"/>
    <sheet name="Raw ERP Findings (2026-09-14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R#,##0.00;[Red]-R#,##0.00;&quot;—&quot;"/>
    <numFmt numFmtId="166" formatCode="yyyy-mm-dd h:mm:ss"/>
    <numFmt numFmtId="167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1E3A8A"/>
      <sz val="14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b val="1"/>
      <sz val="13"/>
    </font>
    <font>
      <name val="Arial"/>
      <i val="1"/>
      <sz val="9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color rgb="001B5E20"/>
      <sz val="9"/>
    </font>
    <font>
      <name val="Arial"/>
      <b val="1"/>
      <sz val="9"/>
    </font>
    <font>
      <name val="Arial"/>
      <b val="1"/>
      <color rgb="00B71C1C"/>
      <sz val="9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4A6741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65" fontId="3" fillId="3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5" fontId="3" fillId="0" borderId="1" applyAlignment="1" pivotButton="0" quotePrefix="0" xfId="0">
      <alignment horizontal="right" vertical="center"/>
    </xf>
    <xf numFmtId="0" fontId="4" fillId="0" borderId="2" applyAlignment="1" pivotButton="0" quotePrefix="0" xfId="0">
      <alignment horizontal="left"/>
    </xf>
    <xf numFmtId="0" fontId="0" fillId="0" borderId="2" pivotButton="0" quotePrefix="0" xfId="0"/>
    <xf numFmtId="165" fontId="4" fillId="0" borderId="2" applyAlignment="1" pivotButton="0" quotePrefix="0" xfId="0">
      <alignment horizontal="right"/>
    </xf>
    <xf numFmtId="0" fontId="5" fillId="0" borderId="0" pivotButton="0" quotePrefix="0" xfId="0"/>
    <xf numFmtId="0" fontId="6" fillId="0" borderId="0" applyAlignment="1" pivotButton="0" quotePrefix="0" xfId="0">
      <alignment wrapText="1"/>
    </xf>
    <xf numFmtId="0" fontId="7" fillId="0" borderId="0" pivotButton="0" quotePrefix="0" xfId="0"/>
    <xf numFmtId="0" fontId="8" fillId="4" borderId="0" pivotButton="0" quotePrefix="0" xfId="0"/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165" fontId="10" fillId="0" borderId="0" pivotButton="0" quotePrefix="0" xfId="0"/>
    <xf numFmtId="0" fontId="9" fillId="0" borderId="0" applyAlignment="1" pivotButton="0" quotePrefix="0" xfId="0">
      <alignment wrapText="1"/>
    </xf>
    <xf numFmtId="0" fontId="11" fillId="0" borderId="0" pivotButton="0" quotePrefix="0" xfId="0"/>
    <xf numFmtId="0" fontId="11" fillId="0" borderId="0" applyAlignment="1" pivotButton="0" quotePrefix="0" xfId="0">
      <alignment wrapText="1"/>
    </xf>
    <xf numFmtId="167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Claude (JIM001 bridge review)</author>
  </authors>
  <commentList>
    <comment ref="B80" authorId="0" shapeId="0">
      <text>
        <t>Month attribution: December 2025 (aggregate exact-sum match, R0.01 variance -- rounding). ERP-ledger invoice-level split points to March 2026 instead but is unconfirmed (mechanical FIFO fill of an assumed month, same pattern as doc 40746's June/July case). ASSERTED, not PROVEN -- no remittance advice exists for JIM001. See JIM001_Exact_Sum_Bridge_Review_2026-09-13.md SS5.</t>
      </text>
    </comment>
  </commentList>
</comments>
</file>

<file path=xl/comments/comment2.xml><?xml version="1.0" encoding="utf-8"?>
<comments xmlns="http://schemas.openxmlformats.org/spreadsheetml/2006/main">
  <authors>
    <author>Claude (JIM001 bridge review)</author>
  </authors>
  <commentList>
    <comment ref="D30" authorId="0" shapeId="0">
      <text>
        <t>R0.01 variance (11,666.12 vs 11,666.11), same rounding tolerance treated as exact elsewhere in this sheet (e.g. docs 8420, 41664). ASSERTED via aggregate exact-sum match, not PROVEN -- no remittance advice exists for JIM001. Contradicts the unconfirmed ERP-ledger invoice split (allocation_edges.csv AL-0359-AL-0361) which points to March 2026 instead. See JIM001_Exact_Sum_Bridge_Review_2026-09-13.md SS5.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2" customWidth="1" min="3" max="3"/>
    <col width="15" customWidth="1" min="4" max="4"/>
    <col width="15" customWidth="1" min="5" max="5"/>
    <col width="15" customWidth="1" min="6" max="6"/>
  </cols>
  <sheetData>
    <row r="1" ht="30" customHeight="1">
      <c r="A1" s="1" t="inlineStr">
        <is>
          <t>Jim Gas (JIM001) - LPG Gas Financial Ledger</t>
        </is>
      </c>
    </row>
    <row r="2" ht="10" customHeight="1"/>
    <row r="3" ht="25" customHeight="1">
      <c r="A3" s="2" t="inlineStr">
        <is>
          <t>Date</t>
        </is>
      </c>
      <c r="B3" s="2" t="inlineStr">
        <is>
          <t>Entry Type</t>
        </is>
      </c>
      <c r="C3" s="2" t="inlineStr">
        <is>
          <t>Doc #</t>
        </is>
      </c>
      <c r="D3" s="2" t="inlineStr">
        <is>
          <t>Description</t>
        </is>
      </c>
      <c r="E3" s="2" t="inlineStr">
        <is>
          <t>Amount</t>
        </is>
      </c>
      <c r="F3" s="2" t="inlineStr">
        <is>
          <t>Running Bal</t>
        </is>
      </c>
    </row>
    <row r="4" ht="20" customHeight="1">
      <c r="A4" s="3" t="n">
        <v>43435</v>
      </c>
      <c r="B4" s="4" t="inlineStr">
        <is>
          <t>Opening Balance</t>
        </is>
      </c>
      <c r="C4" s="4" t="inlineStr"/>
      <c r="D4" s="5" t="inlineStr"/>
      <c r="E4" s="6" t="n"/>
      <c r="F4" s="6" t="n">
        <v>0</v>
      </c>
    </row>
    <row r="5" ht="20" customHeight="1">
      <c r="A5" s="7" t="n">
        <v>43437</v>
      </c>
      <c r="B5" s="8" t="inlineStr">
        <is>
          <t>Invoice</t>
        </is>
      </c>
      <c r="C5" s="8" t="inlineStr">
        <is>
          <t>4635</t>
        </is>
      </c>
      <c r="D5" s="9" t="inlineStr"/>
      <c r="E5" s="10" t="n">
        <v>4750.02</v>
      </c>
      <c r="F5" s="10" t="n">
        <v>4750.02</v>
      </c>
    </row>
    <row r="6" ht="20" customHeight="1">
      <c r="A6" s="3" t="n">
        <v>43451</v>
      </c>
      <c r="B6" s="4" t="inlineStr">
        <is>
          <t>Journal</t>
        </is>
      </c>
      <c r="C6" s="4" t="inlineStr">
        <is>
          <t>00000029</t>
        </is>
      </c>
      <c r="D6" s="5" t="inlineStr"/>
      <c r="E6" s="6" t="n">
        <v>-4750</v>
      </c>
      <c r="F6" s="6" t="n">
        <v>0.02</v>
      </c>
    </row>
    <row r="7" ht="20" customHeight="1">
      <c r="A7" s="7" t="n">
        <v>43451</v>
      </c>
      <c r="B7" s="8" t="inlineStr">
        <is>
          <t>Journal</t>
        </is>
      </c>
      <c r="C7" s="8" t="inlineStr">
        <is>
          <t>00000030</t>
        </is>
      </c>
      <c r="D7" s="9" t="inlineStr"/>
      <c r="E7" s="10" t="n">
        <v>12750</v>
      </c>
      <c r="F7" s="10" t="n">
        <v>12750.02</v>
      </c>
    </row>
    <row r="8" ht="20" customHeight="1">
      <c r="A8" s="3" t="n">
        <v>43451</v>
      </c>
      <c r="B8" s="4" t="inlineStr">
        <is>
          <t>Payment</t>
        </is>
      </c>
      <c r="C8" s="4" t="inlineStr">
        <is>
          <t>00004832</t>
        </is>
      </c>
      <c r="D8" s="5" t="inlineStr"/>
      <c r="E8" s="6" t="n">
        <v>-3750</v>
      </c>
      <c r="F8" s="6" t="n">
        <v>9000.02</v>
      </c>
    </row>
    <row r="9" ht="20" customHeight="1">
      <c r="A9" s="7" t="n">
        <v>43455</v>
      </c>
      <c r="B9" s="8" t="inlineStr">
        <is>
          <t>Invoice</t>
        </is>
      </c>
      <c r="C9" s="8" t="inlineStr">
        <is>
          <t>4542</t>
        </is>
      </c>
      <c r="D9" s="9" t="inlineStr"/>
      <c r="E9" s="10" t="n">
        <v>4250</v>
      </c>
      <c r="F9" s="10" t="n">
        <v>13250.02</v>
      </c>
    </row>
    <row r="10" ht="20" customHeight="1">
      <c r="A10" s="3" t="n">
        <v>43462</v>
      </c>
      <c r="B10" s="4" t="inlineStr">
        <is>
          <t>Payment</t>
        </is>
      </c>
      <c r="C10" s="4" t="inlineStr">
        <is>
          <t>00004839</t>
        </is>
      </c>
      <c r="D10" s="5" t="inlineStr"/>
      <c r="E10" s="6" t="n">
        <v>-4250</v>
      </c>
      <c r="F10" s="6" t="n">
        <v>9000.02</v>
      </c>
    </row>
    <row r="11" ht="20" customHeight="1">
      <c r="A11" s="7" t="n">
        <v>43466</v>
      </c>
      <c r="B11" s="8" t="inlineStr">
        <is>
          <t>Opening Balance</t>
        </is>
      </c>
      <c r="C11" s="8" t="inlineStr"/>
      <c r="D11" s="9" t="inlineStr"/>
      <c r="E11" s="10" t="n"/>
      <c r="F11" s="10" t="n">
        <v>9000.02</v>
      </c>
    </row>
    <row r="12" ht="20" customHeight="1">
      <c r="A12" s="3" t="n">
        <v>43466</v>
      </c>
      <c r="B12" s="4" t="inlineStr">
        <is>
          <t>Invoice</t>
        </is>
      </c>
      <c r="C12" s="4" t="inlineStr">
        <is>
          <t>4553</t>
        </is>
      </c>
      <c r="D12" s="5" t="inlineStr"/>
      <c r="E12" s="6" t="n">
        <v>4250</v>
      </c>
      <c r="F12" s="6" t="n">
        <v>13250.02</v>
      </c>
    </row>
    <row r="13" ht="20" customHeight="1">
      <c r="A13" s="7" t="n">
        <v>43466</v>
      </c>
      <c r="B13" s="8" t="inlineStr">
        <is>
          <t>Invoice</t>
        </is>
      </c>
      <c r="C13" s="8" t="inlineStr">
        <is>
          <t>4559</t>
        </is>
      </c>
      <c r="D13" s="9" t="inlineStr"/>
      <c r="E13" s="10" t="n">
        <v>2100.01</v>
      </c>
      <c r="F13" s="10" t="n">
        <v>15350.03</v>
      </c>
    </row>
    <row r="14" ht="20" customHeight="1">
      <c r="A14" s="3" t="n">
        <v>43466</v>
      </c>
      <c r="B14" s="4" t="inlineStr">
        <is>
          <t>Invoice</t>
        </is>
      </c>
      <c r="C14" s="4" t="inlineStr">
        <is>
          <t>4561</t>
        </is>
      </c>
      <c r="D14" s="5" t="inlineStr"/>
      <c r="E14" s="6" t="n">
        <v>350</v>
      </c>
      <c r="F14" s="6" t="n">
        <v>15700.03</v>
      </c>
    </row>
    <row r="15" ht="20" customHeight="1">
      <c r="A15" s="7" t="n">
        <v>43466</v>
      </c>
      <c r="B15" s="8" t="inlineStr">
        <is>
          <t>Invoice</t>
        </is>
      </c>
      <c r="C15" s="8" t="inlineStr">
        <is>
          <t>4562</t>
        </is>
      </c>
      <c r="D15" s="9" t="inlineStr"/>
      <c r="E15" s="10" t="n">
        <v>700.01</v>
      </c>
      <c r="F15" s="10" t="n">
        <v>16400.04</v>
      </c>
    </row>
    <row r="16" ht="20" customHeight="1">
      <c r="A16" s="3" t="n">
        <v>43466</v>
      </c>
      <c r="B16" s="4" t="inlineStr">
        <is>
          <t>Invoice</t>
        </is>
      </c>
      <c r="C16" s="4" t="inlineStr">
        <is>
          <t>4563</t>
        </is>
      </c>
      <c r="D16" s="5" t="inlineStr"/>
      <c r="E16" s="6" t="n">
        <v>1400.01</v>
      </c>
      <c r="F16" s="6" t="n">
        <v>17800.05</v>
      </c>
    </row>
    <row r="17" ht="20" customHeight="1">
      <c r="A17" s="7" t="n">
        <v>43466</v>
      </c>
      <c r="B17" s="8" t="inlineStr">
        <is>
          <t>Invoice</t>
        </is>
      </c>
      <c r="C17" s="8" t="inlineStr">
        <is>
          <t>4565</t>
        </is>
      </c>
      <c r="D17" s="9" t="inlineStr"/>
      <c r="E17" s="10" t="n">
        <v>1750.01</v>
      </c>
      <c r="F17" s="10" t="n">
        <v>19550.06</v>
      </c>
    </row>
    <row r="18" ht="20" customHeight="1">
      <c r="A18" s="3" t="n">
        <v>43466</v>
      </c>
      <c r="B18" s="4" t="inlineStr">
        <is>
          <t>Invoice</t>
        </is>
      </c>
      <c r="C18" s="4" t="inlineStr">
        <is>
          <t>4566</t>
        </is>
      </c>
      <c r="D18" s="5" t="inlineStr"/>
      <c r="E18" s="6" t="n">
        <v>700.01</v>
      </c>
      <c r="F18" s="6" t="n">
        <v>20250.07</v>
      </c>
    </row>
    <row r="19" ht="20" customHeight="1">
      <c r="A19" s="7" t="n">
        <v>43466</v>
      </c>
      <c r="B19" s="8" t="inlineStr">
        <is>
          <t>Invoice</t>
        </is>
      </c>
      <c r="C19" s="8" t="inlineStr">
        <is>
          <t>4568</t>
        </is>
      </c>
      <c r="D19" s="9" t="inlineStr"/>
      <c r="E19" s="10" t="n">
        <v>700.01</v>
      </c>
      <c r="F19" s="10" t="n">
        <v>20950.08</v>
      </c>
    </row>
    <row r="20" ht="20" customHeight="1">
      <c r="A20" s="3" t="n">
        <v>43468</v>
      </c>
      <c r="B20" s="4" t="inlineStr">
        <is>
          <t>Invoice</t>
        </is>
      </c>
      <c r="C20" s="4" t="inlineStr">
        <is>
          <t>4578</t>
        </is>
      </c>
      <c r="D20" s="5" t="inlineStr"/>
      <c r="E20" s="6" t="n">
        <v>700.01</v>
      </c>
      <c r="F20" s="6" t="n">
        <v>21650.09</v>
      </c>
    </row>
    <row r="21" ht="20" customHeight="1">
      <c r="A21" s="7" t="n">
        <v>43468</v>
      </c>
      <c r="B21" s="8" t="inlineStr">
        <is>
          <t>Crd Note</t>
        </is>
      </c>
      <c r="C21" s="8" t="inlineStr">
        <is>
          <t>616</t>
        </is>
      </c>
      <c r="D21" s="9" t="inlineStr"/>
      <c r="E21" s="10" t="n">
        <v>-700.01</v>
      </c>
      <c r="F21" s="10" t="n">
        <v>20950.08</v>
      </c>
    </row>
    <row r="22" ht="20" customHeight="1">
      <c r="A22" s="3" t="n">
        <v>43469</v>
      </c>
      <c r="B22" s="4" t="inlineStr">
        <is>
          <t>Payment</t>
        </is>
      </c>
      <c r="C22" s="4" t="inlineStr">
        <is>
          <t>00004807</t>
        </is>
      </c>
      <c r="D22" s="5" t="inlineStr"/>
      <c r="E22" s="6" t="n">
        <v>-700.01</v>
      </c>
      <c r="F22" s="6" t="n">
        <v>20250.07</v>
      </c>
    </row>
    <row r="23" ht="20" customHeight="1">
      <c r="A23" s="7" t="n">
        <v>43469</v>
      </c>
      <c r="B23" s="8" t="inlineStr">
        <is>
          <t>Invoice</t>
        </is>
      </c>
      <c r="C23" s="8" t="inlineStr">
        <is>
          <t>4591</t>
        </is>
      </c>
      <c r="D23" s="9" t="inlineStr"/>
      <c r="E23" s="10" t="n">
        <v>1750.01</v>
      </c>
      <c r="F23" s="10" t="n">
        <v>22000.08</v>
      </c>
    </row>
    <row r="24" ht="20" customHeight="1">
      <c r="A24" s="3" t="n">
        <v>43473</v>
      </c>
      <c r="B24" s="4" t="inlineStr">
        <is>
          <t>Payment</t>
        </is>
      </c>
      <c r="C24" s="4" t="inlineStr">
        <is>
          <t>00004898</t>
        </is>
      </c>
      <c r="D24" s="5" t="inlineStr"/>
      <c r="E24" s="6" t="n">
        <v>-8500</v>
      </c>
      <c r="F24" s="6" t="n">
        <v>13500.08</v>
      </c>
    </row>
    <row r="25" ht="20" customHeight="1">
      <c r="A25" s="7" t="n">
        <v>43473</v>
      </c>
      <c r="B25" s="8" t="inlineStr">
        <is>
          <t>Invoice</t>
        </is>
      </c>
      <c r="C25" s="8" t="inlineStr">
        <is>
          <t>4610</t>
        </is>
      </c>
      <c r="D25" s="9" t="inlineStr"/>
      <c r="E25" s="10" t="n">
        <v>1400.01</v>
      </c>
      <c r="F25" s="10" t="n">
        <v>14900.09</v>
      </c>
    </row>
    <row r="26" ht="20" customHeight="1">
      <c r="A26" s="3" t="n">
        <v>43474</v>
      </c>
      <c r="B26" s="4" t="inlineStr">
        <is>
          <t>Payment</t>
        </is>
      </c>
      <c r="C26" s="4" t="inlineStr">
        <is>
          <t>00004841</t>
        </is>
      </c>
      <c r="D26" s="5" t="inlineStr"/>
      <c r="E26" s="6" t="n">
        <v>-700.01</v>
      </c>
      <c r="F26" s="6" t="n">
        <v>14200.08</v>
      </c>
    </row>
    <row r="27" ht="20" customHeight="1">
      <c r="A27" s="7" t="n">
        <v>43474</v>
      </c>
      <c r="B27" s="8" t="inlineStr">
        <is>
          <t>Invoice</t>
        </is>
      </c>
      <c r="C27" s="8" t="inlineStr">
        <is>
          <t>4617</t>
        </is>
      </c>
      <c r="D27" s="9" t="inlineStr"/>
      <c r="E27" s="10" t="n">
        <v>700.01</v>
      </c>
      <c r="F27" s="10" t="n">
        <v>14900.09</v>
      </c>
    </row>
    <row r="28" ht="20" customHeight="1">
      <c r="A28" s="3" t="n">
        <v>43476</v>
      </c>
      <c r="B28" s="4" t="inlineStr">
        <is>
          <t>Invoice</t>
        </is>
      </c>
      <c r="C28" s="4" t="inlineStr">
        <is>
          <t>4626</t>
        </is>
      </c>
      <c r="D28" s="5" t="inlineStr"/>
      <c r="E28" s="6" t="n">
        <v>1050</v>
      </c>
      <c r="F28" s="6" t="n">
        <v>15950.09</v>
      </c>
    </row>
    <row r="29" ht="20" customHeight="1">
      <c r="A29" s="7" t="n">
        <v>43479</v>
      </c>
      <c r="B29" s="8" t="inlineStr">
        <is>
          <t>Invoice</t>
        </is>
      </c>
      <c r="C29" s="8" t="inlineStr">
        <is>
          <t>4646</t>
        </is>
      </c>
      <c r="D29" s="9" t="inlineStr"/>
      <c r="E29" s="10" t="n">
        <v>1400.01</v>
      </c>
      <c r="F29" s="10" t="n">
        <v>17350.1</v>
      </c>
    </row>
    <row r="30" ht="20" customHeight="1">
      <c r="A30" s="3" t="n">
        <v>43480</v>
      </c>
      <c r="B30" s="4" t="inlineStr">
        <is>
          <t>Crd Note</t>
        </is>
      </c>
      <c r="C30" s="4" t="inlineStr">
        <is>
          <t>620</t>
        </is>
      </c>
      <c r="D30" s="5" t="inlineStr"/>
      <c r="E30" s="6" t="n">
        <v>-2443.34</v>
      </c>
      <c r="F30" s="6" t="n">
        <v>14906.76</v>
      </c>
    </row>
    <row r="31" ht="20" customHeight="1">
      <c r="A31" s="7" t="n">
        <v>43485</v>
      </c>
      <c r="B31" s="8" t="inlineStr">
        <is>
          <t>Payment</t>
        </is>
      </c>
      <c r="C31" s="8" t="inlineStr">
        <is>
          <t>00004904</t>
        </is>
      </c>
      <c r="D31" s="9" t="inlineStr"/>
      <c r="E31" s="10" t="n">
        <v>-7000</v>
      </c>
      <c r="F31" s="10" t="n">
        <v>7906.76</v>
      </c>
    </row>
    <row r="32" ht="20" customHeight="1">
      <c r="A32" s="3" t="n">
        <v>43490</v>
      </c>
      <c r="B32" s="4" t="inlineStr">
        <is>
          <t>Invoice</t>
        </is>
      </c>
      <c r="C32" s="4" t="inlineStr">
        <is>
          <t>4690</t>
        </is>
      </c>
      <c r="D32" s="5" t="inlineStr"/>
      <c r="E32" s="6" t="n">
        <v>900</v>
      </c>
      <c r="F32" s="6" t="n">
        <v>8806.76</v>
      </c>
    </row>
    <row r="33" ht="20" customHeight="1">
      <c r="A33" s="7" t="n">
        <v>43492</v>
      </c>
      <c r="B33" s="8" t="inlineStr">
        <is>
          <t>Invoice</t>
        </is>
      </c>
      <c r="C33" s="8" t="inlineStr">
        <is>
          <t>4695</t>
        </is>
      </c>
      <c r="D33" s="9" t="inlineStr"/>
      <c r="E33" s="10" t="n">
        <v>1400.01</v>
      </c>
      <c r="F33" s="10" t="n">
        <v>10206.77</v>
      </c>
    </row>
    <row r="34" ht="20" customHeight="1">
      <c r="A34" s="3" t="n">
        <v>43495</v>
      </c>
      <c r="B34" s="4" t="inlineStr">
        <is>
          <t>Invoice</t>
        </is>
      </c>
      <c r="C34" s="4" t="inlineStr">
        <is>
          <t>4719</t>
        </is>
      </c>
      <c r="D34" s="5" t="inlineStr"/>
      <c r="E34" s="6" t="n">
        <v>1200</v>
      </c>
      <c r="F34" s="6" t="n">
        <v>11406.77</v>
      </c>
    </row>
    <row r="35" ht="20" customHeight="1">
      <c r="A35" s="7" t="n">
        <v>43497</v>
      </c>
      <c r="B35" s="8" t="inlineStr">
        <is>
          <t>Opening Balance</t>
        </is>
      </c>
      <c r="C35" s="8" t="inlineStr"/>
      <c r="D35" s="9" t="inlineStr"/>
      <c r="E35" s="10" t="n"/>
      <c r="F35" s="10" t="n">
        <v>11406.77</v>
      </c>
    </row>
    <row r="36" ht="20" customHeight="1">
      <c r="A36" s="3" t="n">
        <v>43497</v>
      </c>
      <c r="B36" s="4" t="inlineStr">
        <is>
          <t>Invoice</t>
        </is>
      </c>
      <c r="C36" s="4" t="inlineStr">
        <is>
          <t>4732</t>
        </is>
      </c>
      <c r="D36" s="5" t="inlineStr"/>
      <c r="E36" s="6" t="n">
        <v>1750.01</v>
      </c>
      <c r="F36" s="6" t="n">
        <v>13156.78</v>
      </c>
    </row>
    <row r="37" ht="20" customHeight="1">
      <c r="A37" s="7" t="n">
        <v>43501</v>
      </c>
      <c r="B37" s="8" t="inlineStr">
        <is>
          <t>Invoice</t>
        </is>
      </c>
      <c r="C37" s="8" t="inlineStr">
        <is>
          <t>4741</t>
        </is>
      </c>
      <c r="D37" s="9" t="inlineStr"/>
      <c r="E37" s="10" t="n">
        <v>1400.01</v>
      </c>
      <c r="F37" s="10" t="n">
        <v>14556.79</v>
      </c>
    </row>
    <row r="38" ht="20" customHeight="1">
      <c r="A38" s="3" t="n">
        <v>43502</v>
      </c>
      <c r="B38" s="4" t="inlineStr">
        <is>
          <t>Payment</t>
        </is>
      </c>
      <c r="C38" s="4" t="inlineStr">
        <is>
          <t>00005043</t>
        </is>
      </c>
      <c r="D38" s="5" t="inlineStr"/>
      <c r="E38" s="6" t="n">
        <v>-4870</v>
      </c>
      <c r="F38" s="6" t="n">
        <v>9686.790000000001</v>
      </c>
    </row>
    <row r="39" ht="20" customHeight="1">
      <c r="A39" s="7" t="n">
        <v>43503</v>
      </c>
      <c r="B39" s="8" t="inlineStr">
        <is>
          <t>Invoice</t>
        </is>
      </c>
      <c r="C39" s="8" t="inlineStr">
        <is>
          <t>4754</t>
        </is>
      </c>
      <c r="D39" s="9" t="inlineStr"/>
      <c r="E39" s="10" t="n">
        <v>1200</v>
      </c>
      <c r="F39" s="10" t="n">
        <v>10886.79</v>
      </c>
    </row>
    <row r="40" ht="20" customHeight="1">
      <c r="A40" s="3" t="n">
        <v>43507</v>
      </c>
      <c r="B40" s="4" t="inlineStr">
        <is>
          <t>Invoice</t>
        </is>
      </c>
      <c r="C40" s="4" t="inlineStr">
        <is>
          <t>4766</t>
        </is>
      </c>
      <c r="D40" s="5" t="inlineStr"/>
      <c r="E40" s="6" t="n">
        <v>1500</v>
      </c>
      <c r="F40" s="6" t="n">
        <v>12386.79</v>
      </c>
    </row>
    <row r="41" ht="20" customHeight="1">
      <c r="A41" s="7" t="n">
        <v>43507</v>
      </c>
      <c r="B41" s="8" t="inlineStr">
        <is>
          <t>Invoice</t>
        </is>
      </c>
      <c r="C41" s="8" t="inlineStr">
        <is>
          <t>4767</t>
        </is>
      </c>
      <c r="D41" s="9" t="inlineStr"/>
      <c r="E41" s="10" t="n">
        <v>1200</v>
      </c>
      <c r="F41" s="10" t="n">
        <v>13586.79</v>
      </c>
    </row>
    <row r="42" ht="20" customHeight="1">
      <c r="A42" s="3" t="n">
        <v>43509</v>
      </c>
      <c r="B42" s="4" t="inlineStr">
        <is>
          <t>Crd Note</t>
        </is>
      </c>
      <c r="C42" s="4" t="inlineStr">
        <is>
          <t>647</t>
        </is>
      </c>
      <c r="D42" s="5" t="inlineStr"/>
      <c r="E42" s="6" t="n">
        <v>-1500</v>
      </c>
      <c r="F42" s="6" t="n">
        <v>12086.79</v>
      </c>
    </row>
    <row r="43" ht="20" customHeight="1">
      <c r="A43" s="7" t="n">
        <v>43511</v>
      </c>
      <c r="B43" s="8" t="inlineStr">
        <is>
          <t>Invoice</t>
        </is>
      </c>
      <c r="C43" s="8" t="inlineStr">
        <is>
          <t>4791</t>
        </is>
      </c>
      <c r="D43" s="9" t="inlineStr"/>
      <c r="E43" s="10" t="n">
        <v>442.11</v>
      </c>
      <c r="F43" s="10" t="n">
        <v>12528.9</v>
      </c>
    </row>
    <row r="44" ht="20" customHeight="1">
      <c r="A44" s="3" t="n">
        <v>43512</v>
      </c>
      <c r="B44" s="4" t="inlineStr">
        <is>
          <t>Invoice</t>
        </is>
      </c>
      <c r="C44" s="4" t="inlineStr">
        <is>
          <t>4792</t>
        </is>
      </c>
      <c r="D44" s="5" t="inlineStr"/>
      <c r="E44" s="6" t="n">
        <v>1105.28</v>
      </c>
      <c r="F44" s="6" t="n">
        <v>13634.18</v>
      </c>
    </row>
    <row r="45" ht="20" customHeight="1">
      <c r="A45" s="7" t="n">
        <v>43514</v>
      </c>
      <c r="B45" s="8" t="inlineStr">
        <is>
          <t>Payment</t>
        </is>
      </c>
      <c r="C45" s="8" t="inlineStr">
        <is>
          <t>00005047</t>
        </is>
      </c>
      <c r="D45" s="9" t="inlineStr"/>
      <c r="E45" s="10" t="n">
        <v>-6827.39</v>
      </c>
      <c r="F45" s="10" t="n">
        <v>6806.79</v>
      </c>
    </row>
    <row r="46" ht="20" customHeight="1">
      <c r="A46" s="3" t="n">
        <v>43514</v>
      </c>
      <c r="B46" s="4" t="inlineStr">
        <is>
          <t>Invoice</t>
        </is>
      </c>
      <c r="C46" s="4" t="inlineStr">
        <is>
          <t>4807</t>
        </is>
      </c>
      <c r="D46" s="5" t="inlineStr"/>
      <c r="E46" s="6" t="n">
        <v>1200</v>
      </c>
      <c r="F46" s="6" t="n">
        <v>8006.79</v>
      </c>
    </row>
    <row r="47" ht="20" customHeight="1">
      <c r="A47" s="7" t="n">
        <v>43517</v>
      </c>
      <c r="B47" s="8" t="inlineStr">
        <is>
          <t>Invoice</t>
        </is>
      </c>
      <c r="C47" s="8" t="inlineStr">
        <is>
          <t>4820</t>
        </is>
      </c>
      <c r="D47" s="9" t="inlineStr"/>
      <c r="E47" s="10" t="n">
        <v>600</v>
      </c>
      <c r="F47" s="10" t="n">
        <v>8606.790000000001</v>
      </c>
    </row>
    <row r="48" ht="20" customHeight="1">
      <c r="A48" s="3" t="n">
        <v>43522</v>
      </c>
      <c r="B48" s="4" t="inlineStr">
        <is>
          <t>Invoice</t>
        </is>
      </c>
      <c r="C48" s="4" t="inlineStr">
        <is>
          <t>4839</t>
        </is>
      </c>
      <c r="D48" s="5" t="inlineStr"/>
      <c r="E48" s="6" t="n">
        <v>1200</v>
      </c>
      <c r="F48" s="6" t="n">
        <v>9806.790000000001</v>
      </c>
    </row>
    <row r="49" ht="20" customHeight="1">
      <c r="A49" s="7" t="n">
        <v>43523</v>
      </c>
      <c r="B49" s="8" t="inlineStr">
        <is>
          <t>Journal</t>
        </is>
      </c>
      <c r="C49" s="8" t="inlineStr">
        <is>
          <t>00000032</t>
        </is>
      </c>
      <c r="D49" s="9" t="inlineStr"/>
      <c r="E49" s="10" t="n">
        <v>-650</v>
      </c>
      <c r="F49" s="10" t="n">
        <v>9156.790000000001</v>
      </c>
    </row>
    <row r="50" ht="20" customHeight="1">
      <c r="A50" s="3" t="n">
        <v>43524</v>
      </c>
      <c r="B50" s="4" t="inlineStr">
        <is>
          <t>Invoice</t>
        </is>
      </c>
      <c r="C50" s="4" t="inlineStr">
        <is>
          <t>4850</t>
        </is>
      </c>
      <c r="D50" s="5" t="inlineStr"/>
      <c r="E50" s="6" t="n">
        <v>600</v>
      </c>
      <c r="F50" s="6" t="n">
        <v>9756.790000000001</v>
      </c>
    </row>
    <row r="51" ht="20" customHeight="1">
      <c r="A51" s="7" t="n">
        <v>43525</v>
      </c>
      <c r="B51" s="8" t="inlineStr">
        <is>
          <t>Opening Balance</t>
        </is>
      </c>
      <c r="C51" s="8" t="inlineStr"/>
      <c r="D51" s="9" t="inlineStr"/>
      <c r="E51" s="10" t="n"/>
      <c r="F51" s="10" t="n">
        <v>9756.790000000001</v>
      </c>
    </row>
    <row r="52" ht="20" customHeight="1">
      <c r="A52" s="3" t="n">
        <v>43527</v>
      </c>
      <c r="B52" s="4" t="inlineStr">
        <is>
          <t>Invoice</t>
        </is>
      </c>
      <c r="C52" s="4" t="inlineStr">
        <is>
          <t>4866</t>
        </is>
      </c>
      <c r="D52" s="5" t="inlineStr"/>
      <c r="E52" s="6" t="n">
        <v>1200</v>
      </c>
      <c r="F52" s="6" t="n">
        <v>10956.79</v>
      </c>
    </row>
    <row r="53" ht="20" customHeight="1">
      <c r="A53" s="7" t="n">
        <v>43527</v>
      </c>
      <c r="B53" s="8" t="inlineStr">
        <is>
          <t>Crd Note</t>
        </is>
      </c>
      <c r="C53" s="8" t="inlineStr">
        <is>
          <t>662</t>
        </is>
      </c>
      <c r="D53" s="9" t="inlineStr"/>
      <c r="E53" s="10" t="n">
        <v>-1700</v>
      </c>
      <c r="F53" s="10" t="n">
        <v>9256.790000000001</v>
      </c>
    </row>
    <row r="54" ht="20" customHeight="1">
      <c r="A54" s="3" t="n">
        <v>43527</v>
      </c>
      <c r="B54" s="4" t="inlineStr">
        <is>
          <t>Crd Note</t>
        </is>
      </c>
      <c r="C54" s="4" t="inlineStr">
        <is>
          <t>663</t>
        </is>
      </c>
      <c r="D54" s="5" t="inlineStr"/>
      <c r="E54" s="6" t="n">
        <v>-2100.01</v>
      </c>
      <c r="F54" s="6" t="n">
        <v>7156.78</v>
      </c>
    </row>
    <row r="55" ht="20" customHeight="1">
      <c r="A55" s="7" t="n">
        <v>43527</v>
      </c>
      <c r="B55" s="8" t="inlineStr">
        <is>
          <t>Crd Note</t>
        </is>
      </c>
      <c r="C55" s="8" t="inlineStr">
        <is>
          <t>664</t>
        </is>
      </c>
      <c r="D55" s="9" t="inlineStr"/>
      <c r="E55" s="10" t="n">
        <v>-700.01</v>
      </c>
      <c r="F55" s="10" t="n">
        <v>6456.77</v>
      </c>
    </row>
    <row r="56" ht="20" customHeight="1">
      <c r="A56" s="3" t="n">
        <v>43527</v>
      </c>
      <c r="B56" s="4" t="inlineStr">
        <is>
          <t>Crd Note</t>
        </is>
      </c>
      <c r="C56" s="4" t="inlineStr">
        <is>
          <t>665</t>
        </is>
      </c>
      <c r="D56" s="5" t="inlineStr"/>
      <c r="E56" s="6" t="n">
        <v>-350</v>
      </c>
      <c r="F56" s="6" t="n">
        <v>6106.77</v>
      </c>
    </row>
    <row r="57" ht="20" customHeight="1">
      <c r="A57" s="7" t="n">
        <v>43527</v>
      </c>
      <c r="B57" s="8" t="inlineStr">
        <is>
          <t>Crd Note</t>
        </is>
      </c>
      <c r="C57" s="8" t="inlineStr">
        <is>
          <t>666</t>
        </is>
      </c>
      <c r="D57" s="9" t="inlineStr"/>
      <c r="E57" s="10" t="n">
        <v>-700.01</v>
      </c>
      <c r="F57" s="10" t="n">
        <v>5406.76</v>
      </c>
    </row>
    <row r="58" ht="20" customHeight="1">
      <c r="A58" s="3" t="n">
        <v>43531</v>
      </c>
      <c r="B58" s="4" t="inlineStr">
        <is>
          <t>Invoice</t>
        </is>
      </c>
      <c r="C58" s="4" t="inlineStr">
        <is>
          <t>4886</t>
        </is>
      </c>
      <c r="D58" s="5" t="inlineStr"/>
      <c r="E58" s="6" t="n">
        <v>975</v>
      </c>
      <c r="F58" s="6" t="n">
        <v>6381.76</v>
      </c>
    </row>
    <row r="59" ht="20" customHeight="1">
      <c r="A59" s="7" t="n">
        <v>43535</v>
      </c>
      <c r="B59" s="8" t="inlineStr">
        <is>
          <t>Invoice</t>
        </is>
      </c>
      <c r="C59" s="8" t="inlineStr">
        <is>
          <t>4900</t>
        </is>
      </c>
      <c r="D59" s="9" t="inlineStr"/>
      <c r="E59" s="10" t="n">
        <v>1299.99</v>
      </c>
      <c r="F59" s="10" t="n">
        <v>7681.75</v>
      </c>
    </row>
    <row r="60" ht="20" customHeight="1">
      <c r="A60" s="3" t="n">
        <v>43538</v>
      </c>
      <c r="B60" s="4" t="inlineStr">
        <is>
          <t>Invoice</t>
        </is>
      </c>
      <c r="C60" s="4" t="inlineStr">
        <is>
          <t>4920</t>
        </is>
      </c>
      <c r="D60" s="5" t="inlineStr"/>
      <c r="E60" s="6" t="n">
        <v>1300.01</v>
      </c>
      <c r="F60" s="6" t="n">
        <v>8981.76</v>
      </c>
    </row>
    <row r="61" ht="20" customHeight="1">
      <c r="A61" s="7" t="n">
        <v>43543</v>
      </c>
      <c r="B61" s="8" t="inlineStr">
        <is>
          <t>Invoice</t>
        </is>
      </c>
      <c r="C61" s="8" t="inlineStr">
        <is>
          <t>4942</t>
        </is>
      </c>
      <c r="D61" s="9" t="inlineStr"/>
      <c r="E61" s="10" t="n">
        <v>1625</v>
      </c>
      <c r="F61" s="10" t="n">
        <v>10606.76</v>
      </c>
    </row>
    <row r="62" ht="20" customHeight="1">
      <c r="A62" s="3" t="n">
        <v>43546</v>
      </c>
      <c r="B62" s="4" t="inlineStr">
        <is>
          <t>Invoice</t>
        </is>
      </c>
      <c r="C62" s="4" t="inlineStr">
        <is>
          <t>4960</t>
        </is>
      </c>
      <c r="D62" s="5" t="inlineStr"/>
      <c r="E62" s="6" t="n">
        <v>975</v>
      </c>
      <c r="F62" s="6" t="n">
        <v>11581.76</v>
      </c>
    </row>
    <row r="63" ht="20" customHeight="1">
      <c r="A63" s="7" t="n">
        <v>43550</v>
      </c>
      <c r="B63" s="8" t="inlineStr">
        <is>
          <t>Invoice</t>
        </is>
      </c>
      <c r="C63" s="8" t="inlineStr">
        <is>
          <t>4973</t>
        </is>
      </c>
      <c r="D63" s="9" t="inlineStr"/>
      <c r="E63" s="10" t="n">
        <v>1300.01</v>
      </c>
      <c r="F63" s="10" t="n">
        <v>12881.77</v>
      </c>
    </row>
    <row r="64" ht="20" customHeight="1">
      <c r="A64" s="3" t="n">
        <v>43553</v>
      </c>
      <c r="B64" s="4" t="inlineStr">
        <is>
          <t>Invoice</t>
        </is>
      </c>
      <c r="C64" s="4" t="inlineStr">
        <is>
          <t>5001</t>
        </is>
      </c>
      <c r="D64" s="5" t="inlineStr"/>
      <c r="E64" s="6" t="n">
        <v>650</v>
      </c>
      <c r="F64" s="6" t="n">
        <v>13531.77</v>
      </c>
    </row>
    <row r="65" ht="20" customHeight="1">
      <c r="A65" s="7" t="n">
        <v>43556</v>
      </c>
      <c r="B65" s="8" t="inlineStr">
        <is>
          <t>Opening Balance</t>
        </is>
      </c>
      <c r="C65" s="8" t="inlineStr"/>
      <c r="D65" s="9" t="inlineStr"/>
      <c r="E65" s="10" t="n"/>
      <c r="F65" s="10" t="n">
        <v>13531.77</v>
      </c>
    </row>
    <row r="66" ht="20" customHeight="1">
      <c r="A66" s="3" t="n">
        <v>43556</v>
      </c>
      <c r="B66" s="4" t="inlineStr">
        <is>
          <t>Invoice</t>
        </is>
      </c>
      <c r="C66" s="4" t="inlineStr">
        <is>
          <t>5013</t>
        </is>
      </c>
      <c r="D66" s="5" t="inlineStr"/>
      <c r="E66" s="6" t="n">
        <v>1625.01</v>
      </c>
      <c r="F66" s="6" t="n">
        <v>15156.78</v>
      </c>
    </row>
    <row r="67" ht="20" customHeight="1">
      <c r="A67" s="7" t="n">
        <v>43559</v>
      </c>
      <c r="B67" s="8" t="inlineStr">
        <is>
          <t>Invoice</t>
        </is>
      </c>
      <c r="C67" s="8" t="inlineStr">
        <is>
          <t>5030</t>
        </is>
      </c>
      <c r="D67" s="9" t="inlineStr"/>
      <c r="E67" s="10" t="n">
        <v>1439.98</v>
      </c>
      <c r="F67" s="10" t="n">
        <v>16596.76</v>
      </c>
    </row>
    <row r="68" ht="20" customHeight="1">
      <c r="A68" s="3" t="n">
        <v>43564</v>
      </c>
      <c r="B68" s="4" t="inlineStr">
        <is>
          <t>Invoice</t>
        </is>
      </c>
      <c r="C68" s="4" t="inlineStr">
        <is>
          <t>5047</t>
        </is>
      </c>
      <c r="D68" s="5" t="inlineStr"/>
      <c r="E68" s="6" t="n">
        <v>1439.98</v>
      </c>
      <c r="F68" s="6" t="n">
        <v>18036.74</v>
      </c>
    </row>
    <row r="69" ht="20" customHeight="1">
      <c r="A69" s="7" t="n">
        <v>43567</v>
      </c>
      <c r="B69" s="8" t="inlineStr">
        <is>
          <t>Invoice</t>
        </is>
      </c>
      <c r="C69" s="8" t="inlineStr">
        <is>
          <t>5063</t>
        </is>
      </c>
      <c r="D69" s="9" t="inlineStr"/>
      <c r="E69" s="10" t="n">
        <v>719.99</v>
      </c>
      <c r="F69" s="10" t="n">
        <v>18756.73</v>
      </c>
    </row>
    <row r="70" ht="20" customHeight="1">
      <c r="A70" s="3" t="n">
        <v>43570</v>
      </c>
      <c r="B70" s="4" t="inlineStr">
        <is>
          <t>Invoice</t>
        </is>
      </c>
      <c r="C70" s="4" t="inlineStr">
        <is>
          <t>5072</t>
        </is>
      </c>
      <c r="D70" s="5" t="inlineStr"/>
      <c r="E70" s="6" t="n">
        <v>1799.98</v>
      </c>
      <c r="F70" s="6" t="n">
        <v>20556.71</v>
      </c>
    </row>
    <row r="71" ht="20" customHeight="1">
      <c r="A71" s="7" t="n">
        <v>43572</v>
      </c>
      <c r="B71" s="8" t="inlineStr">
        <is>
          <t>Invoice</t>
        </is>
      </c>
      <c r="C71" s="8" t="inlineStr">
        <is>
          <t>5083</t>
        </is>
      </c>
      <c r="D71" s="9" t="inlineStr"/>
      <c r="E71" s="10" t="n">
        <v>1439.98</v>
      </c>
      <c r="F71" s="10" t="n">
        <v>21996.69</v>
      </c>
    </row>
    <row r="72" ht="20" customHeight="1">
      <c r="A72" s="3" t="n">
        <v>43578</v>
      </c>
      <c r="B72" s="4" t="inlineStr">
        <is>
          <t>Payment</t>
        </is>
      </c>
      <c r="C72" s="4" t="inlineStr">
        <is>
          <t>00005437</t>
        </is>
      </c>
      <c r="D72" s="5" t="inlineStr"/>
      <c r="E72" s="6" t="n">
        <v>-9925</v>
      </c>
      <c r="F72" s="6" t="n">
        <v>12071.69</v>
      </c>
    </row>
    <row r="73" ht="20" customHeight="1">
      <c r="A73" s="7" t="n">
        <v>43578</v>
      </c>
      <c r="B73" s="8" t="inlineStr">
        <is>
          <t>Invoice</t>
        </is>
      </c>
      <c r="C73" s="8" t="inlineStr">
        <is>
          <t>5106</t>
        </is>
      </c>
      <c r="D73" s="9" t="inlineStr"/>
      <c r="E73" s="10" t="n">
        <v>1439.98</v>
      </c>
      <c r="F73" s="10" t="n">
        <v>13511.67</v>
      </c>
    </row>
    <row r="74" ht="20" customHeight="1">
      <c r="A74" s="3" t="n">
        <v>43579</v>
      </c>
      <c r="B74" s="4" t="inlineStr">
        <is>
          <t>Invoice</t>
        </is>
      </c>
      <c r="C74" s="4" t="inlineStr">
        <is>
          <t>5112</t>
        </is>
      </c>
      <c r="D74" s="5" t="inlineStr"/>
      <c r="E74" s="6" t="n">
        <v>1439.98</v>
      </c>
      <c r="F74" s="6" t="n">
        <v>14951.65</v>
      </c>
    </row>
    <row r="75" ht="20" customHeight="1">
      <c r="A75" s="7" t="n">
        <v>43584</v>
      </c>
      <c r="B75" s="8" t="inlineStr">
        <is>
          <t>Invoice</t>
        </is>
      </c>
      <c r="C75" s="8" t="inlineStr">
        <is>
          <t>5130</t>
        </is>
      </c>
      <c r="D75" s="9" t="inlineStr"/>
      <c r="E75" s="10" t="n">
        <v>2159.98</v>
      </c>
      <c r="F75" s="10" t="n">
        <v>17111.63</v>
      </c>
    </row>
    <row r="76" ht="20" customHeight="1">
      <c r="A76" s="3" t="n">
        <v>43586</v>
      </c>
      <c r="B76" s="4" t="inlineStr">
        <is>
          <t>Opening Balance</t>
        </is>
      </c>
      <c r="C76" s="4" t="inlineStr"/>
      <c r="D76" s="5" t="inlineStr"/>
      <c r="E76" s="6" t="n"/>
      <c r="F76" s="6" t="n">
        <v>17111.63</v>
      </c>
    </row>
    <row r="77" ht="20" customHeight="1">
      <c r="A77" s="7" t="n">
        <v>43590</v>
      </c>
      <c r="B77" s="8" t="inlineStr">
        <is>
          <t>Payment</t>
        </is>
      </c>
      <c r="C77" s="8" t="inlineStr">
        <is>
          <t>00005436</t>
        </is>
      </c>
      <c r="D77" s="9" t="inlineStr"/>
      <c r="E77" s="10" t="n">
        <v>-13505</v>
      </c>
      <c r="F77" s="10" t="n">
        <v>3606.63</v>
      </c>
    </row>
    <row r="78" ht="20" customHeight="1">
      <c r="A78" s="3" t="n">
        <v>43590</v>
      </c>
      <c r="B78" s="4" t="inlineStr">
        <is>
          <t>Invoice</t>
        </is>
      </c>
      <c r="C78" s="4" t="inlineStr">
        <is>
          <t>5157</t>
        </is>
      </c>
      <c r="D78" s="5" t="inlineStr"/>
      <c r="E78" s="6" t="n">
        <v>1125.01</v>
      </c>
      <c r="F78" s="6" t="n">
        <v>4731.64</v>
      </c>
    </row>
    <row r="79" ht="20" customHeight="1">
      <c r="A79" s="7" t="n">
        <v>43593</v>
      </c>
      <c r="B79" s="8" t="inlineStr">
        <is>
          <t>Invoice</t>
        </is>
      </c>
      <c r="C79" s="8" t="inlineStr">
        <is>
          <t>5167</t>
        </is>
      </c>
      <c r="D79" s="9" t="inlineStr"/>
      <c r="E79" s="10" t="n">
        <v>1875.02</v>
      </c>
      <c r="F79" s="10" t="n">
        <v>6606.66</v>
      </c>
    </row>
    <row r="80" ht="20" customHeight="1">
      <c r="A80" s="3" t="n">
        <v>43599</v>
      </c>
      <c r="B80" s="4" t="inlineStr">
        <is>
          <t>Invoice</t>
        </is>
      </c>
      <c r="C80" s="4" t="inlineStr">
        <is>
          <t>5193</t>
        </is>
      </c>
      <c r="D80" s="5" t="inlineStr"/>
      <c r="E80" s="6" t="n">
        <v>1960.58</v>
      </c>
      <c r="F80" s="6" t="n">
        <v>8567.24</v>
      </c>
    </row>
    <row r="81" ht="20" customHeight="1">
      <c r="A81" s="7" t="n">
        <v>43601</v>
      </c>
      <c r="B81" s="8" t="inlineStr">
        <is>
          <t>Invoice</t>
        </is>
      </c>
      <c r="C81" s="8" t="inlineStr">
        <is>
          <t>5206</t>
        </is>
      </c>
      <c r="D81" s="9" t="inlineStr"/>
      <c r="E81" s="10" t="n">
        <v>750.01</v>
      </c>
      <c r="F81" s="10" t="n">
        <v>9317.25</v>
      </c>
    </row>
    <row r="82" ht="20" customHeight="1">
      <c r="A82" s="3" t="n">
        <v>43606</v>
      </c>
      <c r="B82" s="4" t="inlineStr">
        <is>
          <t>Invoice</t>
        </is>
      </c>
      <c r="C82" s="4" t="inlineStr">
        <is>
          <t>5231</t>
        </is>
      </c>
      <c r="D82" s="5" t="inlineStr"/>
      <c r="E82" s="6" t="n">
        <v>1500.01</v>
      </c>
      <c r="F82" s="6" t="n">
        <v>10817.26</v>
      </c>
    </row>
    <row r="83" ht="20" customHeight="1">
      <c r="A83" s="7" t="n">
        <v>43608</v>
      </c>
      <c r="B83" s="8" t="inlineStr">
        <is>
          <t>Invoice</t>
        </is>
      </c>
      <c r="C83" s="8" t="inlineStr">
        <is>
          <t>5253</t>
        </is>
      </c>
      <c r="D83" s="9" t="inlineStr"/>
      <c r="E83" s="10" t="n">
        <v>1500</v>
      </c>
      <c r="F83" s="10" t="n">
        <v>12317.26</v>
      </c>
    </row>
    <row r="84" ht="20" customHeight="1">
      <c r="A84" s="3" t="n">
        <v>43616</v>
      </c>
      <c r="B84" s="4" t="inlineStr">
        <is>
          <t>Invoice</t>
        </is>
      </c>
      <c r="C84" s="4" t="inlineStr">
        <is>
          <t>5297</t>
        </is>
      </c>
      <c r="D84" s="5" t="inlineStr"/>
      <c r="E84" s="6" t="n">
        <v>1500</v>
      </c>
      <c r="F84" s="6" t="n">
        <v>13817.26</v>
      </c>
    </row>
    <row r="85" ht="20" customHeight="1">
      <c r="A85" s="7" t="n">
        <v>43617</v>
      </c>
      <c r="B85" s="8" t="inlineStr">
        <is>
          <t>Opening Balance</t>
        </is>
      </c>
      <c r="C85" s="8" t="inlineStr"/>
      <c r="D85" s="9" t="inlineStr"/>
      <c r="E85" s="10" t="n"/>
      <c r="F85" s="10" t="n">
        <v>13817.26</v>
      </c>
    </row>
    <row r="86" ht="20" customHeight="1">
      <c r="A86" s="3" t="n">
        <v>43619</v>
      </c>
      <c r="B86" s="4" t="inlineStr">
        <is>
          <t>Invoice</t>
        </is>
      </c>
      <c r="C86" s="4" t="inlineStr">
        <is>
          <t>5306</t>
        </is>
      </c>
      <c r="D86" s="5" t="inlineStr"/>
      <c r="E86" s="6" t="n">
        <v>1500</v>
      </c>
      <c r="F86" s="6" t="n">
        <v>15317.26</v>
      </c>
    </row>
    <row r="87" ht="20" customHeight="1">
      <c r="A87" s="7" t="n">
        <v>43622</v>
      </c>
      <c r="B87" s="8" t="inlineStr">
        <is>
          <t>Invoice</t>
        </is>
      </c>
      <c r="C87" s="8" t="inlineStr">
        <is>
          <t>5330</t>
        </is>
      </c>
      <c r="D87" s="9" t="inlineStr"/>
      <c r="E87" s="10" t="n">
        <v>1500</v>
      </c>
      <c r="F87" s="10" t="n">
        <v>16817.26</v>
      </c>
    </row>
    <row r="88" ht="20" customHeight="1">
      <c r="A88" s="3" t="n">
        <v>43626</v>
      </c>
      <c r="B88" s="4" t="inlineStr">
        <is>
          <t>Invoice</t>
        </is>
      </c>
      <c r="C88" s="4" t="inlineStr">
        <is>
          <t>5345</t>
        </is>
      </c>
      <c r="D88" s="5" t="inlineStr"/>
      <c r="E88" s="6" t="n">
        <v>1500</v>
      </c>
      <c r="F88" s="6" t="n">
        <v>18317.26</v>
      </c>
    </row>
    <row r="89" ht="20" customHeight="1">
      <c r="A89" s="7" t="n">
        <v>43629</v>
      </c>
      <c r="B89" s="8" t="inlineStr">
        <is>
          <t>Invoice</t>
        </is>
      </c>
      <c r="C89" s="8" t="inlineStr">
        <is>
          <t>5361</t>
        </is>
      </c>
      <c r="D89" s="9" t="inlineStr"/>
      <c r="E89" s="10" t="n">
        <v>1125</v>
      </c>
      <c r="F89" s="10" t="n">
        <v>19442.26</v>
      </c>
    </row>
    <row r="90" ht="20" customHeight="1">
      <c r="A90" s="3" t="n">
        <v>43633</v>
      </c>
      <c r="B90" s="4" t="inlineStr">
        <is>
          <t>Invoice</t>
        </is>
      </c>
      <c r="C90" s="4" t="inlineStr">
        <is>
          <t>5374</t>
        </is>
      </c>
      <c r="D90" s="5" t="inlineStr"/>
      <c r="E90" s="6" t="n">
        <v>1500</v>
      </c>
      <c r="F90" s="6" t="n">
        <v>20942.26</v>
      </c>
    </row>
    <row r="91" ht="20" customHeight="1">
      <c r="A91" s="7" t="n">
        <v>43635</v>
      </c>
      <c r="B91" s="8" t="inlineStr">
        <is>
          <t>Payment</t>
        </is>
      </c>
      <c r="C91" s="8" t="inlineStr">
        <is>
          <t>00005618</t>
        </is>
      </c>
      <c r="D91" s="9" t="inlineStr"/>
      <c r="E91" s="10" t="n">
        <v>-8625</v>
      </c>
      <c r="F91" s="10" t="n">
        <v>12317.26</v>
      </c>
    </row>
    <row r="92" ht="20" customHeight="1">
      <c r="A92" s="3" t="n">
        <v>43636</v>
      </c>
      <c r="B92" s="4" t="inlineStr">
        <is>
          <t>Invoice</t>
        </is>
      </c>
      <c r="C92" s="4" t="inlineStr">
        <is>
          <t>5400</t>
        </is>
      </c>
      <c r="D92" s="5" t="inlineStr"/>
      <c r="E92" s="6" t="n">
        <v>1500</v>
      </c>
      <c r="F92" s="6" t="n">
        <v>13817.26</v>
      </c>
    </row>
    <row r="93" ht="20" customHeight="1">
      <c r="A93" s="7" t="n">
        <v>43641</v>
      </c>
      <c r="B93" s="8" t="inlineStr">
        <is>
          <t>Invoice</t>
        </is>
      </c>
      <c r="C93" s="8" t="inlineStr">
        <is>
          <t>5432</t>
        </is>
      </c>
      <c r="D93" s="9" t="inlineStr"/>
      <c r="E93" s="10" t="n">
        <v>1500</v>
      </c>
      <c r="F93" s="10" t="n">
        <v>15317.26</v>
      </c>
    </row>
    <row r="94" ht="20" customHeight="1">
      <c r="A94" s="3" t="n">
        <v>43643</v>
      </c>
      <c r="B94" s="4" t="inlineStr">
        <is>
          <t>Invoice</t>
        </is>
      </c>
      <c r="C94" s="4" t="inlineStr">
        <is>
          <t>5451</t>
        </is>
      </c>
      <c r="D94" s="5" t="inlineStr"/>
      <c r="E94" s="6" t="n">
        <v>1125</v>
      </c>
      <c r="F94" s="6" t="n">
        <v>16442.26</v>
      </c>
    </row>
    <row r="95" ht="20" customHeight="1">
      <c r="A95" s="7" t="n">
        <v>43647</v>
      </c>
      <c r="B95" s="8" t="inlineStr">
        <is>
          <t>Opening Balance</t>
        </is>
      </c>
      <c r="C95" s="8" t="inlineStr"/>
      <c r="D95" s="9" t="inlineStr"/>
      <c r="E95" s="10" t="n"/>
      <c r="F95" s="10" t="n">
        <v>16442.26</v>
      </c>
    </row>
    <row r="96" ht="20" customHeight="1">
      <c r="A96" s="3" t="n">
        <v>43647</v>
      </c>
      <c r="B96" s="4" t="inlineStr">
        <is>
          <t>Invoice</t>
        </is>
      </c>
      <c r="C96" s="4" t="inlineStr">
        <is>
          <t>5463</t>
        </is>
      </c>
      <c r="D96" s="5" t="inlineStr"/>
      <c r="E96" s="6" t="n">
        <v>1875.02</v>
      </c>
      <c r="F96" s="6" t="n">
        <v>18317.28</v>
      </c>
    </row>
    <row r="97" ht="20" customHeight="1">
      <c r="A97" s="7" t="n">
        <v>43649</v>
      </c>
      <c r="B97" s="8" t="inlineStr">
        <is>
          <t>Payment</t>
        </is>
      </c>
      <c r="C97" s="8" t="inlineStr">
        <is>
          <t>00005804</t>
        </is>
      </c>
      <c r="D97" s="9" t="inlineStr"/>
      <c r="E97" s="10" t="n">
        <v>-12750</v>
      </c>
      <c r="F97" s="10" t="n">
        <v>5567.28</v>
      </c>
    </row>
    <row r="98" ht="20" customHeight="1">
      <c r="A98" s="3" t="n">
        <v>43650</v>
      </c>
      <c r="B98" s="4" t="inlineStr">
        <is>
          <t>Invoice</t>
        </is>
      </c>
      <c r="C98" s="4" t="inlineStr">
        <is>
          <t>5480</t>
        </is>
      </c>
      <c r="D98" s="5" t="inlineStr"/>
      <c r="E98" s="6" t="n">
        <v>1500</v>
      </c>
      <c r="F98" s="6" t="n">
        <v>7067.28</v>
      </c>
    </row>
    <row r="99" ht="20" customHeight="1">
      <c r="A99" s="7" t="n">
        <v>43653</v>
      </c>
      <c r="B99" s="8" t="inlineStr">
        <is>
          <t>Payment</t>
        </is>
      </c>
      <c r="C99" s="8" t="inlineStr">
        <is>
          <t>00005226</t>
        </is>
      </c>
      <c r="D99" s="9" t="inlineStr"/>
      <c r="E99" s="10" t="n">
        <v>-3000</v>
      </c>
      <c r="F99" s="10" t="n">
        <v>4067.28</v>
      </c>
    </row>
    <row r="100" ht="20" customHeight="1">
      <c r="A100" s="3" t="n">
        <v>43653</v>
      </c>
      <c r="B100" s="4" t="inlineStr">
        <is>
          <t>Invoice</t>
        </is>
      </c>
      <c r="C100" s="4" t="inlineStr">
        <is>
          <t>5496</t>
        </is>
      </c>
      <c r="D100" s="5" t="inlineStr"/>
      <c r="E100" s="6" t="n">
        <v>1500</v>
      </c>
      <c r="F100" s="6" t="n">
        <v>5567.28</v>
      </c>
    </row>
    <row r="101" ht="20" customHeight="1">
      <c r="A101" s="7" t="n">
        <v>43657</v>
      </c>
      <c r="B101" s="8" t="inlineStr">
        <is>
          <t>Invoice</t>
        </is>
      </c>
      <c r="C101" s="8" t="inlineStr">
        <is>
          <t>5515</t>
        </is>
      </c>
      <c r="D101" s="9" t="inlineStr"/>
      <c r="E101" s="10" t="n">
        <v>1500</v>
      </c>
      <c r="F101" s="10" t="n">
        <v>7067.28</v>
      </c>
    </row>
    <row r="102" ht="20" customHeight="1">
      <c r="A102" s="3" t="n">
        <v>43660</v>
      </c>
      <c r="B102" s="4" t="inlineStr">
        <is>
          <t>Invoice</t>
        </is>
      </c>
      <c r="C102" s="4" t="inlineStr">
        <is>
          <t>5522</t>
        </is>
      </c>
      <c r="D102" s="5" t="inlineStr"/>
      <c r="E102" s="6" t="n">
        <v>554</v>
      </c>
      <c r="F102" s="6" t="n">
        <v>7621.28</v>
      </c>
    </row>
    <row r="103" ht="20" customHeight="1">
      <c r="A103" s="7" t="n">
        <v>43661</v>
      </c>
      <c r="B103" s="8" t="inlineStr">
        <is>
          <t>Invoice</t>
        </is>
      </c>
      <c r="C103" s="8" t="inlineStr">
        <is>
          <t>5525</t>
        </is>
      </c>
      <c r="D103" s="9" t="inlineStr"/>
      <c r="E103" s="10" t="n">
        <v>1874.99</v>
      </c>
      <c r="F103" s="10" t="n">
        <v>9496.27</v>
      </c>
    </row>
    <row r="104" ht="20" customHeight="1">
      <c r="A104" s="3" t="n">
        <v>43664</v>
      </c>
      <c r="B104" s="4" t="inlineStr">
        <is>
          <t>Invoice</t>
        </is>
      </c>
      <c r="C104" s="4" t="inlineStr">
        <is>
          <t>5543</t>
        </is>
      </c>
      <c r="D104" s="5" t="inlineStr"/>
      <c r="E104" s="6" t="n">
        <v>1500</v>
      </c>
      <c r="F104" s="6" t="n">
        <v>10996.27</v>
      </c>
    </row>
    <row r="105" ht="20" customHeight="1">
      <c r="A105" s="7" t="n">
        <v>43664</v>
      </c>
      <c r="B105" s="8" t="inlineStr">
        <is>
          <t>Invoice</t>
        </is>
      </c>
      <c r="C105" s="8" t="inlineStr">
        <is>
          <t>5638</t>
        </is>
      </c>
      <c r="D105" s="9" t="inlineStr"/>
      <c r="E105" s="10" t="n">
        <v>552</v>
      </c>
      <c r="F105" s="10" t="n">
        <v>11548.27</v>
      </c>
    </row>
    <row r="106" ht="20" customHeight="1">
      <c r="A106" s="3" t="n">
        <v>43668</v>
      </c>
      <c r="B106" s="4" t="inlineStr">
        <is>
          <t>Invoice</t>
        </is>
      </c>
      <c r="C106" s="4" t="inlineStr">
        <is>
          <t>5561</t>
        </is>
      </c>
      <c r="D106" s="5" t="inlineStr"/>
      <c r="E106" s="6" t="n">
        <v>1500</v>
      </c>
      <c r="F106" s="6" t="n">
        <v>13048.27</v>
      </c>
    </row>
    <row r="107" ht="20" customHeight="1">
      <c r="A107" s="7" t="n">
        <v>43671</v>
      </c>
      <c r="B107" s="8" t="inlineStr">
        <is>
          <t>Invoice</t>
        </is>
      </c>
      <c r="C107" s="8" t="inlineStr">
        <is>
          <t>5582</t>
        </is>
      </c>
      <c r="D107" s="9" t="inlineStr"/>
      <c r="E107" s="10" t="n">
        <v>1125</v>
      </c>
      <c r="F107" s="10" t="n">
        <v>14173.27</v>
      </c>
    </row>
    <row r="108" ht="20" customHeight="1">
      <c r="A108" s="3" t="n">
        <v>43675</v>
      </c>
      <c r="B108" s="4" t="inlineStr">
        <is>
          <t>Invoice</t>
        </is>
      </c>
      <c r="C108" s="4" t="inlineStr">
        <is>
          <t>5593</t>
        </is>
      </c>
      <c r="D108" s="5" t="inlineStr"/>
      <c r="E108" s="6" t="n">
        <v>1500</v>
      </c>
      <c r="F108" s="6" t="n">
        <v>15673.27</v>
      </c>
    </row>
    <row r="109" ht="20" customHeight="1">
      <c r="A109" s="7" t="n">
        <v>43678</v>
      </c>
      <c r="B109" s="8" t="inlineStr">
        <is>
          <t>Opening Balance</t>
        </is>
      </c>
      <c r="C109" s="8" t="inlineStr"/>
      <c r="D109" s="9" t="inlineStr"/>
      <c r="E109" s="10" t="n"/>
      <c r="F109" s="10" t="n">
        <v>15673.27</v>
      </c>
    </row>
    <row r="110" ht="20" customHeight="1">
      <c r="A110" s="3" t="n">
        <v>43678</v>
      </c>
      <c r="B110" s="4" t="inlineStr">
        <is>
          <t>Invoice</t>
        </is>
      </c>
      <c r="C110" s="4" t="inlineStr">
        <is>
          <t>5603</t>
        </is>
      </c>
      <c r="D110" s="5" t="inlineStr"/>
      <c r="E110" s="6" t="n">
        <v>1500</v>
      </c>
      <c r="F110" s="6" t="n">
        <v>17173.27</v>
      </c>
    </row>
    <row r="111" ht="20" customHeight="1">
      <c r="A111" s="7" t="n">
        <v>43682</v>
      </c>
      <c r="B111" s="8" t="inlineStr">
        <is>
          <t>Payment</t>
        </is>
      </c>
      <c r="C111" s="8" t="inlineStr">
        <is>
          <t>00005876</t>
        </is>
      </c>
      <c r="D111" s="9" t="inlineStr"/>
      <c r="E111" s="10" t="n">
        <v>-14429</v>
      </c>
      <c r="F111" s="10" t="n">
        <v>2744.27</v>
      </c>
    </row>
    <row r="112" ht="20" customHeight="1">
      <c r="A112" s="3" t="n">
        <v>43682</v>
      </c>
      <c r="B112" s="4" t="inlineStr">
        <is>
          <t>Invoice</t>
        </is>
      </c>
      <c r="C112" s="4" t="inlineStr">
        <is>
          <t>5612</t>
        </is>
      </c>
      <c r="D112" s="5" t="inlineStr"/>
      <c r="E112" s="6" t="n">
        <v>1874.99</v>
      </c>
      <c r="F112" s="6" t="n">
        <v>4619.26</v>
      </c>
    </row>
    <row r="113" ht="20" customHeight="1">
      <c r="A113" s="7" t="n">
        <v>43684</v>
      </c>
      <c r="B113" s="8" t="inlineStr">
        <is>
          <t>Invoice</t>
        </is>
      </c>
      <c r="C113" s="8" t="inlineStr">
        <is>
          <t>5624</t>
        </is>
      </c>
      <c r="D113" s="9" t="inlineStr"/>
      <c r="E113" s="10" t="n">
        <v>1500</v>
      </c>
      <c r="F113" s="10" t="n">
        <v>6119.26</v>
      </c>
    </row>
    <row r="114" ht="20" customHeight="1">
      <c r="A114" s="3" t="n">
        <v>43690</v>
      </c>
      <c r="B114" s="4" t="inlineStr">
        <is>
          <t>Invoice</t>
        </is>
      </c>
      <c r="C114" s="4" t="inlineStr">
        <is>
          <t>5652</t>
        </is>
      </c>
      <c r="D114" s="5" t="inlineStr"/>
      <c r="E114" s="6" t="n">
        <v>1500</v>
      </c>
      <c r="F114" s="6" t="n">
        <v>7619.26</v>
      </c>
    </row>
    <row r="115" ht="20" customHeight="1">
      <c r="A115" s="7" t="n">
        <v>43692</v>
      </c>
      <c r="B115" s="8" t="inlineStr">
        <is>
          <t>Invoice</t>
        </is>
      </c>
      <c r="C115" s="8" t="inlineStr">
        <is>
          <t>5667</t>
        </is>
      </c>
      <c r="D115" s="9" t="inlineStr"/>
      <c r="E115" s="10" t="n">
        <v>1500</v>
      </c>
      <c r="F115" s="10" t="n">
        <v>9119.26</v>
      </c>
    </row>
    <row r="116" ht="20" customHeight="1">
      <c r="A116" s="3" t="n">
        <v>43697</v>
      </c>
      <c r="B116" s="4" t="inlineStr">
        <is>
          <t>Invoice</t>
        </is>
      </c>
      <c r="C116" s="4" t="inlineStr">
        <is>
          <t>5678</t>
        </is>
      </c>
      <c r="D116" s="5" t="inlineStr"/>
      <c r="E116" s="6" t="n">
        <v>1500</v>
      </c>
      <c r="F116" s="6" t="n">
        <v>10619.26</v>
      </c>
    </row>
    <row r="117" ht="20" customHeight="1">
      <c r="A117" s="7" t="n">
        <v>43699</v>
      </c>
      <c r="B117" s="8" t="inlineStr">
        <is>
          <t>Invoice</t>
        </is>
      </c>
      <c r="C117" s="8" t="inlineStr">
        <is>
          <t>5688</t>
        </is>
      </c>
      <c r="D117" s="9" t="inlineStr"/>
      <c r="E117" s="10" t="n">
        <v>1125</v>
      </c>
      <c r="F117" s="10" t="n">
        <v>11744.26</v>
      </c>
    </row>
    <row r="118" ht="20" customHeight="1">
      <c r="A118" s="3" t="n">
        <v>43702</v>
      </c>
      <c r="B118" s="4" t="inlineStr">
        <is>
          <t>Invoice</t>
        </is>
      </c>
      <c r="C118" s="4" t="inlineStr">
        <is>
          <t>5698</t>
        </is>
      </c>
      <c r="D118" s="5" t="inlineStr"/>
      <c r="E118" s="6" t="n">
        <v>1500</v>
      </c>
      <c r="F118" s="6" t="n">
        <v>13244.26</v>
      </c>
    </row>
    <row r="119" ht="20" customHeight="1">
      <c r="A119" s="7" t="n">
        <v>43705</v>
      </c>
      <c r="B119" s="8" t="inlineStr">
        <is>
          <t>Invoice</t>
        </is>
      </c>
      <c r="C119" s="8" t="inlineStr">
        <is>
          <t>5710</t>
        </is>
      </c>
      <c r="D119" s="9" t="inlineStr"/>
      <c r="E119" s="10" t="n">
        <v>1500</v>
      </c>
      <c r="F119" s="10" t="n">
        <v>14744.26</v>
      </c>
    </row>
    <row r="120" ht="20" customHeight="1">
      <c r="A120" s="3" t="n">
        <v>43706</v>
      </c>
      <c r="B120" s="4" t="inlineStr">
        <is>
          <t>Invoice</t>
        </is>
      </c>
      <c r="C120" s="4" t="inlineStr">
        <is>
          <t>5712</t>
        </is>
      </c>
      <c r="D120" s="5" t="inlineStr"/>
      <c r="E120" s="6" t="n">
        <v>375</v>
      </c>
      <c r="F120" s="6" t="n">
        <v>15119.26</v>
      </c>
    </row>
    <row r="121" ht="20" customHeight="1">
      <c r="A121" s="7" t="n">
        <v>43709</v>
      </c>
      <c r="B121" s="8" t="inlineStr">
        <is>
          <t>Opening Balance</t>
        </is>
      </c>
      <c r="C121" s="8" t="inlineStr"/>
      <c r="D121" s="9" t="inlineStr"/>
      <c r="E121" s="10" t="n"/>
      <c r="F121" s="10" t="n">
        <v>15119.26</v>
      </c>
    </row>
    <row r="122" ht="20" customHeight="1">
      <c r="A122" s="3" t="n">
        <v>43709</v>
      </c>
      <c r="B122" s="4" t="inlineStr">
        <is>
          <t>Invoice</t>
        </is>
      </c>
      <c r="C122" s="4" t="inlineStr">
        <is>
          <t>5716</t>
        </is>
      </c>
      <c r="D122" s="5" t="inlineStr"/>
      <c r="E122" s="6" t="n">
        <v>1500</v>
      </c>
      <c r="F122" s="6" t="n">
        <v>16619.26</v>
      </c>
    </row>
    <row r="123" ht="20" customHeight="1">
      <c r="A123" s="7" t="n">
        <v>43709</v>
      </c>
      <c r="B123" s="8" t="inlineStr">
        <is>
          <t>Crd Note</t>
        </is>
      </c>
      <c r="C123" s="8" t="inlineStr">
        <is>
          <t>788</t>
        </is>
      </c>
      <c r="D123" s="9" t="inlineStr"/>
      <c r="E123" s="10" t="n">
        <v>-552</v>
      </c>
      <c r="F123" s="10" t="n">
        <v>16067.26</v>
      </c>
    </row>
    <row r="124" ht="20" customHeight="1">
      <c r="A124" s="3" t="n">
        <v>43711</v>
      </c>
      <c r="B124" s="4" t="inlineStr">
        <is>
          <t>Payment</t>
        </is>
      </c>
      <c r="C124" s="4" t="inlineStr">
        <is>
          <t>00005988</t>
        </is>
      </c>
      <c r="D124" s="5" t="inlineStr"/>
      <c r="E124" s="6" t="n">
        <v>-13875</v>
      </c>
      <c r="F124" s="6" t="n">
        <v>2192.26</v>
      </c>
    </row>
    <row r="125" ht="20" customHeight="1">
      <c r="A125" s="7" t="n">
        <v>43712</v>
      </c>
      <c r="B125" s="8" t="inlineStr">
        <is>
          <t>Invoice</t>
        </is>
      </c>
      <c r="C125" s="8" t="inlineStr">
        <is>
          <t>5742</t>
        </is>
      </c>
      <c r="D125" s="9" t="inlineStr"/>
      <c r="E125" s="10" t="n">
        <v>1874.99</v>
      </c>
      <c r="F125" s="10" t="n">
        <v>4067.25</v>
      </c>
    </row>
    <row r="126" ht="20" customHeight="1">
      <c r="A126" s="3" t="n">
        <v>43716</v>
      </c>
      <c r="B126" s="4" t="inlineStr">
        <is>
          <t>Invoice</t>
        </is>
      </c>
      <c r="C126" s="4" t="inlineStr">
        <is>
          <t>5753</t>
        </is>
      </c>
      <c r="D126" s="5" t="inlineStr"/>
      <c r="E126" s="6" t="n">
        <v>1875.02</v>
      </c>
      <c r="F126" s="6" t="n">
        <v>5942.27</v>
      </c>
    </row>
    <row r="127" ht="20" customHeight="1">
      <c r="A127" s="7" t="n">
        <v>43720</v>
      </c>
      <c r="B127" s="8" t="inlineStr">
        <is>
          <t>Invoice</t>
        </is>
      </c>
      <c r="C127" s="8" t="inlineStr">
        <is>
          <t>5768</t>
        </is>
      </c>
      <c r="D127" s="9" t="inlineStr"/>
      <c r="E127" s="10" t="n">
        <v>1874.99</v>
      </c>
      <c r="F127" s="10" t="n">
        <v>7817.26</v>
      </c>
    </row>
    <row r="128" ht="20" customHeight="1">
      <c r="A128" s="3" t="n">
        <v>43724</v>
      </c>
      <c r="B128" s="4" t="inlineStr">
        <is>
          <t>Invoice</t>
        </is>
      </c>
      <c r="C128" s="4" t="inlineStr">
        <is>
          <t>5779</t>
        </is>
      </c>
      <c r="D128" s="5" t="inlineStr"/>
      <c r="E128" s="6" t="n">
        <v>1500</v>
      </c>
      <c r="F128" s="6" t="n">
        <v>9317.26</v>
      </c>
    </row>
    <row r="129" ht="20" customHeight="1">
      <c r="A129" s="7" t="n">
        <v>43727</v>
      </c>
      <c r="B129" s="8" t="inlineStr">
        <is>
          <t>Invoice</t>
        </is>
      </c>
      <c r="C129" s="8" t="inlineStr">
        <is>
          <t>5797</t>
        </is>
      </c>
      <c r="D129" s="9" t="inlineStr"/>
      <c r="E129" s="10" t="n">
        <v>1500</v>
      </c>
      <c r="F129" s="10" t="n">
        <v>10817.26</v>
      </c>
    </row>
    <row r="130" ht="20" customHeight="1">
      <c r="A130" s="3" t="n">
        <v>43732</v>
      </c>
      <c r="B130" s="4" t="inlineStr">
        <is>
          <t>Invoice</t>
        </is>
      </c>
      <c r="C130" s="4" t="inlineStr">
        <is>
          <t>5807</t>
        </is>
      </c>
      <c r="D130" s="5" t="inlineStr"/>
      <c r="E130" s="6" t="n">
        <v>1874.99</v>
      </c>
      <c r="F130" s="6" t="n">
        <v>12692.25</v>
      </c>
    </row>
    <row r="131" ht="20" customHeight="1">
      <c r="A131" s="7" t="n">
        <v>43737</v>
      </c>
      <c r="B131" s="8" t="inlineStr">
        <is>
          <t>Invoice</t>
        </is>
      </c>
      <c r="C131" s="8" t="inlineStr">
        <is>
          <t>5821</t>
        </is>
      </c>
      <c r="D131" s="9" t="inlineStr"/>
      <c r="E131" s="10" t="n">
        <v>1874.99</v>
      </c>
      <c r="F131" s="10" t="n">
        <v>14567.24</v>
      </c>
    </row>
    <row r="132" ht="20" customHeight="1">
      <c r="A132" s="3" t="n">
        <v>43739</v>
      </c>
      <c r="B132" s="4" t="inlineStr">
        <is>
          <t>Opening Balance</t>
        </is>
      </c>
      <c r="C132" s="4" t="inlineStr"/>
      <c r="D132" s="5" t="inlineStr"/>
      <c r="E132" s="6" t="n"/>
      <c r="F132" s="6" t="n">
        <v>14567.24</v>
      </c>
    </row>
    <row r="133" ht="20" customHeight="1">
      <c r="A133" s="7" t="n">
        <v>43741</v>
      </c>
      <c r="B133" s="8" t="inlineStr">
        <is>
          <t>Invoice</t>
        </is>
      </c>
      <c r="C133" s="8" t="inlineStr">
        <is>
          <t>5848</t>
        </is>
      </c>
      <c r="D133" s="9" t="inlineStr"/>
      <c r="E133" s="10" t="n">
        <v>1874.99</v>
      </c>
      <c r="F133" s="10" t="n">
        <v>16442.23</v>
      </c>
    </row>
    <row r="134" ht="20" customHeight="1">
      <c r="A134" s="3" t="n">
        <v>43748</v>
      </c>
      <c r="B134" s="4" t="inlineStr">
        <is>
          <t>Invoice</t>
        </is>
      </c>
      <c r="C134" s="4" t="inlineStr">
        <is>
          <t>5864</t>
        </is>
      </c>
      <c r="D134" s="5" t="inlineStr"/>
      <c r="E134" s="6" t="n">
        <v>1874.99</v>
      </c>
      <c r="F134" s="6" t="n">
        <v>18317.22</v>
      </c>
    </row>
    <row r="135" ht="20" customHeight="1">
      <c r="A135" s="7" t="n">
        <v>43752</v>
      </c>
      <c r="B135" s="8" t="inlineStr">
        <is>
          <t>Invoice</t>
        </is>
      </c>
      <c r="C135" s="8" t="inlineStr">
        <is>
          <t>5872</t>
        </is>
      </c>
      <c r="D135" s="9" t="inlineStr"/>
      <c r="E135" s="10" t="n">
        <v>1874.99</v>
      </c>
      <c r="F135" s="10" t="n">
        <v>20192.21</v>
      </c>
    </row>
    <row r="136" ht="20" customHeight="1">
      <c r="A136" s="3" t="n">
        <v>43755</v>
      </c>
      <c r="B136" s="4" t="inlineStr">
        <is>
          <t>Invoice</t>
        </is>
      </c>
      <c r="C136" s="4" t="inlineStr">
        <is>
          <t>5883</t>
        </is>
      </c>
      <c r="D136" s="5" t="inlineStr"/>
      <c r="E136" s="6" t="n">
        <v>1500</v>
      </c>
      <c r="F136" s="6" t="n">
        <v>21692.21</v>
      </c>
    </row>
    <row r="137" ht="20" customHeight="1">
      <c r="A137" s="7" t="n">
        <v>43758</v>
      </c>
      <c r="B137" s="8" t="inlineStr">
        <is>
          <t>Payment</t>
        </is>
      </c>
      <c r="C137" s="8" t="inlineStr">
        <is>
          <t>00006104</t>
        </is>
      </c>
      <c r="D137" s="9" t="inlineStr"/>
      <c r="E137" s="10" t="n">
        <v>-13875</v>
      </c>
      <c r="F137" s="10" t="n">
        <v>7817.21</v>
      </c>
    </row>
    <row r="138" ht="20" customHeight="1">
      <c r="A138" s="3" t="n">
        <v>43760</v>
      </c>
      <c r="B138" s="4" t="inlineStr">
        <is>
          <t>Invoice</t>
        </is>
      </c>
      <c r="C138" s="4" t="inlineStr">
        <is>
          <t>5900</t>
        </is>
      </c>
      <c r="D138" s="5" t="inlineStr"/>
      <c r="E138" s="6" t="n">
        <v>1874.99</v>
      </c>
      <c r="F138" s="6" t="n">
        <v>9692.200000000001</v>
      </c>
    </row>
    <row r="139" ht="20" customHeight="1">
      <c r="A139" s="7" t="n">
        <v>43763</v>
      </c>
      <c r="B139" s="8" t="inlineStr">
        <is>
          <t>Invoice</t>
        </is>
      </c>
      <c r="C139" s="8" t="inlineStr">
        <is>
          <t>5907</t>
        </is>
      </c>
      <c r="D139" s="9" t="inlineStr"/>
      <c r="E139" s="10" t="n">
        <v>750</v>
      </c>
      <c r="F139" s="10" t="n">
        <v>10442.2</v>
      </c>
    </row>
    <row r="140" ht="20" customHeight="1">
      <c r="A140" s="3" t="n">
        <v>43767</v>
      </c>
      <c r="B140" s="4" t="inlineStr">
        <is>
          <t>Invoice</t>
        </is>
      </c>
      <c r="C140" s="4" t="inlineStr">
        <is>
          <t>5924</t>
        </is>
      </c>
      <c r="D140" s="5" t="inlineStr"/>
      <c r="E140" s="6" t="n">
        <v>1125</v>
      </c>
      <c r="F140" s="6" t="n">
        <v>11567.2</v>
      </c>
    </row>
    <row r="141" ht="20" customHeight="1">
      <c r="A141" s="7" t="n">
        <v>43769</v>
      </c>
      <c r="B141" s="8" t="inlineStr">
        <is>
          <t>Invoice</t>
        </is>
      </c>
      <c r="C141" s="8" t="inlineStr">
        <is>
          <t>5931</t>
        </is>
      </c>
      <c r="D141" s="9" t="inlineStr"/>
      <c r="E141" s="10" t="n">
        <v>1874.99</v>
      </c>
      <c r="F141" s="10" t="n">
        <v>13442.19</v>
      </c>
    </row>
    <row r="142" ht="20" customHeight="1">
      <c r="A142" s="3" t="n">
        <v>43770</v>
      </c>
      <c r="B142" s="4" t="inlineStr">
        <is>
          <t>Opening Balance</t>
        </is>
      </c>
      <c r="C142" s="4" t="inlineStr"/>
      <c r="D142" s="5" t="inlineStr"/>
      <c r="E142" s="6" t="n"/>
      <c r="F142" s="6" t="n">
        <v>13442.19</v>
      </c>
    </row>
    <row r="143" ht="20" customHeight="1">
      <c r="A143" s="7" t="n">
        <v>43775</v>
      </c>
      <c r="B143" s="8" t="inlineStr">
        <is>
          <t>Invoice</t>
        </is>
      </c>
      <c r="C143" s="8" t="inlineStr">
        <is>
          <t>5945</t>
        </is>
      </c>
      <c r="D143" s="9" t="inlineStr"/>
      <c r="E143" s="10" t="n">
        <v>1500</v>
      </c>
      <c r="F143" s="10" t="n">
        <v>14942.19</v>
      </c>
    </row>
    <row r="144" ht="20" customHeight="1">
      <c r="A144" s="3" t="n">
        <v>43776</v>
      </c>
      <c r="B144" s="4" t="inlineStr">
        <is>
          <t>Invoice</t>
        </is>
      </c>
      <c r="C144" s="4" t="inlineStr">
        <is>
          <t>5949</t>
        </is>
      </c>
      <c r="D144" s="5" t="inlineStr"/>
      <c r="E144" s="6" t="n">
        <v>1500</v>
      </c>
      <c r="F144" s="6" t="n">
        <v>16442.19</v>
      </c>
    </row>
    <row r="145" ht="20" customHeight="1">
      <c r="A145" s="7" t="n">
        <v>43780</v>
      </c>
      <c r="B145" s="8" t="inlineStr">
        <is>
          <t>Invoice</t>
        </is>
      </c>
      <c r="C145" s="8" t="inlineStr">
        <is>
          <t>5961</t>
        </is>
      </c>
      <c r="D145" s="9" t="inlineStr"/>
      <c r="E145" s="10" t="n">
        <v>1500</v>
      </c>
      <c r="F145" s="10" t="n">
        <v>17942.19</v>
      </c>
    </row>
    <row r="146" ht="20" customHeight="1">
      <c r="A146" s="3" t="n">
        <v>43783</v>
      </c>
      <c r="B146" s="4" t="inlineStr">
        <is>
          <t>Invoice</t>
        </is>
      </c>
      <c r="C146" s="4" t="inlineStr">
        <is>
          <t>5978</t>
        </is>
      </c>
      <c r="D146" s="5" t="inlineStr"/>
      <c r="E146" s="6" t="n">
        <v>1500</v>
      </c>
      <c r="F146" s="6" t="n">
        <v>19442.19</v>
      </c>
    </row>
    <row r="147" ht="20" customHeight="1">
      <c r="A147" s="7" t="n">
        <v>43788</v>
      </c>
      <c r="B147" s="8" t="inlineStr">
        <is>
          <t>Invoice</t>
        </is>
      </c>
      <c r="C147" s="8" t="inlineStr">
        <is>
          <t>5990</t>
        </is>
      </c>
      <c r="D147" s="9" t="inlineStr"/>
      <c r="E147" s="10" t="n">
        <v>1874.99</v>
      </c>
      <c r="F147" s="10" t="n">
        <v>21317.18</v>
      </c>
    </row>
    <row r="148" ht="20" customHeight="1">
      <c r="A148" s="3" t="n">
        <v>43788</v>
      </c>
      <c r="B148" s="4" t="inlineStr">
        <is>
          <t>Invoice</t>
        </is>
      </c>
      <c r="C148" s="4" t="inlineStr">
        <is>
          <t>5991</t>
        </is>
      </c>
      <c r="D148" s="5" t="inlineStr"/>
      <c r="E148" s="6" t="n">
        <v>1799.98</v>
      </c>
      <c r="F148" s="6" t="n">
        <v>23117.16</v>
      </c>
    </row>
    <row r="149" ht="20" customHeight="1">
      <c r="A149" s="7" t="n">
        <v>43788</v>
      </c>
      <c r="B149" s="8" t="inlineStr">
        <is>
          <t>Crd Note</t>
        </is>
      </c>
      <c r="C149" s="8" t="inlineStr">
        <is>
          <t>824</t>
        </is>
      </c>
      <c r="D149" s="9" t="inlineStr"/>
      <c r="E149" s="10" t="n">
        <v>-1874.99</v>
      </c>
      <c r="F149" s="10" t="n">
        <v>21242.17</v>
      </c>
    </row>
    <row r="150" ht="20" customHeight="1">
      <c r="A150" s="3" t="n">
        <v>43790</v>
      </c>
      <c r="B150" s="4" t="inlineStr">
        <is>
          <t>Invoice</t>
        </is>
      </c>
      <c r="C150" s="4" t="inlineStr">
        <is>
          <t>6000</t>
        </is>
      </c>
      <c r="D150" s="5" t="inlineStr"/>
      <c r="E150" s="6" t="n">
        <v>719.99</v>
      </c>
      <c r="F150" s="6" t="n">
        <v>21962.16</v>
      </c>
    </row>
    <row r="151" ht="20" customHeight="1">
      <c r="A151" s="7" t="n">
        <v>43794</v>
      </c>
      <c r="B151" s="8" t="inlineStr">
        <is>
          <t>Invoice</t>
        </is>
      </c>
      <c r="C151" s="8" t="inlineStr">
        <is>
          <t>6007</t>
        </is>
      </c>
      <c r="D151" s="9" t="inlineStr"/>
      <c r="E151" s="10" t="n">
        <v>1439.98</v>
      </c>
      <c r="F151" s="10" t="n">
        <v>23402.14</v>
      </c>
    </row>
    <row r="152" ht="20" customHeight="1">
      <c r="A152" s="3" t="n">
        <v>43797</v>
      </c>
      <c r="B152" s="4" t="inlineStr">
        <is>
          <t>Invoice</t>
        </is>
      </c>
      <c r="C152" s="4" t="inlineStr">
        <is>
          <t>6028</t>
        </is>
      </c>
      <c r="D152" s="5" t="inlineStr"/>
      <c r="E152" s="6" t="n">
        <v>1079.99</v>
      </c>
      <c r="F152" s="6" t="n">
        <v>24482.13</v>
      </c>
    </row>
    <row r="153" ht="20" customHeight="1">
      <c r="A153" s="7" t="n">
        <v>43800</v>
      </c>
      <c r="B153" s="8" t="inlineStr">
        <is>
          <t>Opening Balance</t>
        </is>
      </c>
      <c r="C153" s="8" t="inlineStr"/>
      <c r="D153" s="9" t="inlineStr"/>
      <c r="E153" s="10" t="n"/>
      <c r="F153" s="10" t="n">
        <v>24482.13</v>
      </c>
    </row>
    <row r="154" ht="20" customHeight="1">
      <c r="A154" s="3" t="n">
        <v>43801</v>
      </c>
      <c r="B154" s="4" t="inlineStr">
        <is>
          <t>Invoice</t>
        </is>
      </c>
      <c r="C154" s="4" t="inlineStr">
        <is>
          <t>6044</t>
        </is>
      </c>
      <c r="D154" s="5" t="inlineStr"/>
      <c r="E154" s="6" t="n">
        <v>1799.98</v>
      </c>
      <c r="F154" s="6" t="n">
        <v>26282.11</v>
      </c>
    </row>
    <row r="155" ht="20" customHeight="1">
      <c r="A155" s="7" t="n">
        <v>43804</v>
      </c>
      <c r="B155" s="8" t="inlineStr">
        <is>
          <t>Invoice</t>
        </is>
      </c>
      <c r="C155" s="8" t="inlineStr">
        <is>
          <t>6057</t>
        </is>
      </c>
      <c r="D155" s="9" t="inlineStr"/>
      <c r="E155" s="10" t="n">
        <v>1079.99</v>
      </c>
      <c r="F155" s="10" t="n">
        <v>27362.1</v>
      </c>
    </row>
    <row r="156" ht="20" customHeight="1">
      <c r="A156" s="3" t="n">
        <v>43807</v>
      </c>
      <c r="B156" s="4" t="inlineStr">
        <is>
          <t>Payment</t>
        </is>
      </c>
      <c r="C156" s="4" t="inlineStr">
        <is>
          <t>00006316</t>
        </is>
      </c>
      <c r="D156" s="5" t="inlineStr"/>
      <c r="E156" s="6" t="n">
        <v>-10875</v>
      </c>
      <c r="F156" s="6" t="n">
        <v>16487.1</v>
      </c>
    </row>
    <row r="157" ht="20" customHeight="1">
      <c r="A157" s="7" t="n">
        <v>43807</v>
      </c>
      <c r="B157" s="8" t="inlineStr">
        <is>
          <t>Invoice</t>
        </is>
      </c>
      <c r="C157" s="8" t="inlineStr">
        <is>
          <t>6068</t>
        </is>
      </c>
      <c r="D157" s="9" t="inlineStr"/>
      <c r="E157" s="10" t="n">
        <v>1439.98</v>
      </c>
      <c r="F157" s="10" t="n">
        <v>17927.08</v>
      </c>
    </row>
    <row r="158" ht="20" customHeight="1">
      <c r="A158" s="3" t="n">
        <v>43811</v>
      </c>
      <c r="B158" s="4" t="inlineStr">
        <is>
          <t>Invoice</t>
        </is>
      </c>
      <c r="C158" s="4" t="inlineStr">
        <is>
          <t>6086</t>
        </is>
      </c>
      <c r="D158" s="5" t="inlineStr"/>
      <c r="E158" s="6" t="n">
        <v>1828.5</v>
      </c>
      <c r="F158" s="6" t="n">
        <v>19755.58</v>
      </c>
    </row>
    <row r="159" ht="20" customHeight="1">
      <c r="A159" s="7" t="n">
        <v>43815</v>
      </c>
      <c r="B159" s="8" t="inlineStr">
        <is>
          <t>Invoice</t>
        </is>
      </c>
      <c r="C159" s="8" t="inlineStr">
        <is>
          <t>6097</t>
        </is>
      </c>
      <c r="D159" s="9" t="inlineStr"/>
      <c r="E159" s="10" t="n">
        <v>1828.5</v>
      </c>
      <c r="F159" s="10" t="n">
        <v>21584.08</v>
      </c>
    </row>
    <row r="160" ht="20" customHeight="1">
      <c r="A160" s="3" t="n">
        <v>43818</v>
      </c>
      <c r="B160" s="4" t="inlineStr">
        <is>
          <t>Invoice</t>
        </is>
      </c>
      <c r="C160" s="4" t="inlineStr">
        <is>
          <t>6114</t>
        </is>
      </c>
      <c r="D160" s="5" t="inlineStr"/>
      <c r="E160" s="6" t="n">
        <v>1462.8</v>
      </c>
      <c r="F160" s="6" t="n">
        <v>23046.88</v>
      </c>
    </row>
    <row r="161" ht="20" customHeight="1">
      <c r="A161" s="7" t="n">
        <v>43821</v>
      </c>
      <c r="B161" s="8" t="inlineStr">
        <is>
          <t>Invoice</t>
        </is>
      </c>
      <c r="C161" s="8" t="inlineStr">
        <is>
          <t>6126</t>
        </is>
      </c>
      <c r="D161" s="9" t="inlineStr"/>
      <c r="E161" s="10" t="n">
        <v>2194.2</v>
      </c>
      <c r="F161" s="10" t="n">
        <v>25241.08</v>
      </c>
    </row>
    <row r="162" ht="20" customHeight="1">
      <c r="A162" s="3" t="n">
        <v>43822</v>
      </c>
      <c r="B162" s="4" t="inlineStr">
        <is>
          <t>Payment</t>
        </is>
      </c>
      <c r="C162" s="4" t="inlineStr">
        <is>
          <t>00006381</t>
        </is>
      </c>
      <c r="D162" s="5" t="inlineStr"/>
      <c r="E162" s="6" t="n">
        <v>-930</v>
      </c>
      <c r="F162" s="6" t="n">
        <v>24311.08</v>
      </c>
    </row>
    <row r="163" ht="20" customHeight="1">
      <c r="A163" s="7" t="n">
        <v>43825</v>
      </c>
      <c r="B163" s="8" t="inlineStr">
        <is>
          <t>Payment</t>
        </is>
      </c>
      <c r="C163" s="8" t="inlineStr">
        <is>
          <t>00006376</t>
        </is>
      </c>
      <c r="D163" s="9" t="inlineStr"/>
      <c r="E163" s="10" t="n">
        <v>-12915</v>
      </c>
      <c r="F163" s="10" t="n">
        <v>11396.08</v>
      </c>
    </row>
    <row r="164" ht="20" customHeight="1">
      <c r="A164" s="3" t="n">
        <v>43826</v>
      </c>
      <c r="B164" s="4" t="inlineStr">
        <is>
          <t>Invoice</t>
        </is>
      </c>
      <c r="C164" s="4" t="inlineStr">
        <is>
          <t>6140</t>
        </is>
      </c>
      <c r="D164" s="5" t="inlineStr"/>
      <c r="E164" s="6" t="n">
        <v>1097.1</v>
      </c>
      <c r="F164" s="6" t="n">
        <v>12493.18</v>
      </c>
    </row>
    <row r="165" ht="20" customHeight="1">
      <c r="A165" s="7" t="n">
        <v>43830</v>
      </c>
      <c r="B165" s="8" t="inlineStr">
        <is>
          <t>Invoice</t>
        </is>
      </c>
      <c r="C165" s="8" t="inlineStr">
        <is>
          <t>6145</t>
        </is>
      </c>
      <c r="D165" s="9" t="inlineStr"/>
      <c r="E165" s="10" t="n">
        <v>1462.8</v>
      </c>
      <c r="F165" s="10" t="n">
        <v>13955.98</v>
      </c>
    </row>
    <row r="166" ht="20" customHeight="1">
      <c r="A166" s="3" t="n">
        <v>43831</v>
      </c>
      <c r="B166" s="4" t="inlineStr">
        <is>
          <t>Opening Balance</t>
        </is>
      </c>
      <c r="C166" s="4" t="inlineStr"/>
      <c r="D166" s="5" t="inlineStr"/>
      <c r="E166" s="6" t="n"/>
      <c r="F166" s="6" t="n">
        <v>13955.98</v>
      </c>
    </row>
    <row r="167" ht="20" customHeight="1">
      <c r="A167" s="7" t="n">
        <v>43832</v>
      </c>
      <c r="B167" s="8" t="inlineStr">
        <is>
          <t>Invoice</t>
        </is>
      </c>
      <c r="C167" s="8" t="inlineStr">
        <is>
          <t>6151</t>
        </is>
      </c>
      <c r="D167" s="9" t="inlineStr"/>
      <c r="E167" s="10" t="n">
        <v>1480</v>
      </c>
      <c r="F167" s="10" t="n">
        <v>15435.98</v>
      </c>
    </row>
    <row r="168" ht="20" customHeight="1">
      <c r="A168" s="3" t="n">
        <v>43835</v>
      </c>
      <c r="B168" s="4" t="inlineStr">
        <is>
          <t>Invoice</t>
        </is>
      </c>
      <c r="C168" s="4" t="inlineStr">
        <is>
          <t>6158</t>
        </is>
      </c>
      <c r="D168" s="5" t="inlineStr"/>
      <c r="E168" s="6" t="n">
        <v>1110</v>
      </c>
      <c r="F168" s="6" t="n">
        <v>16545.98</v>
      </c>
    </row>
    <row r="169" ht="20" customHeight="1">
      <c r="A169" s="7" t="n">
        <v>43838</v>
      </c>
      <c r="B169" s="8" t="inlineStr">
        <is>
          <t>Invoice</t>
        </is>
      </c>
      <c r="C169" s="8" t="inlineStr">
        <is>
          <t>6165</t>
        </is>
      </c>
      <c r="D169" s="9" t="inlineStr"/>
      <c r="E169" s="10" t="n">
        <v>1875.02</v>
      </c>
      <c r="F169" s="10" t="n">
        <v>18421</v>
      </c>
    </row>
    <row r="170" ht="20" customHeight="1">
      <c r="A170" s="3" t="n">
        <v>43843</v>
      </c>
      <c r="B170" s="4" t="inlineStr">
        <is>
          <t>Invoice</t>
        </is>
      </c>
      <c r="C170" s="4" t="inlineStr">
        <is>
          <t>6179</t>
        </is>
      </c>
      <c r="D170" s="5" t="inlineStr"/>
      <c r="E170" s="6" t="n">
        <v>1500.01</v>
      </c>
      <c r="F170" s="6" t="n">
        <v>19921.01</v>
      </c>
    </row>
    <row r="171" ht="20" customHeight="1">
      <c r="A171" s="7" t="n">
        <v>43846</v>
      </c>
      <c r="B171" s="8" t="inlineStr">
        <is>
          <t>Payment</t>
        </is>
      </c>
      <c r="C171" s="8" t="inlineStr">
        <is>
          <t>00006423</t>
        </is>
      </c>
      <c r="D171" s="9" t="inlineStr"/>
      <c r="E171" s="10" t="n">
        <v>-12715</v>
      </c>
      <c r="F171" s="10" t="n">
        <v>7206.01</v>
      </c>
    </row>
    <row r="172" ht="20" customHeight="1">
      <c r="A172" s="3" t="n">
        <v>43846</v>
      </c>
      <c r="B172" s="4" t="inlineStr">
        <is>
          <t>Invoice</t>
        </is>
      </c>
      <c r="C172" s="4" t="inlineStr">
        <is>
          <t>6191</t>
        </is>
      </c>
      <c r="D172" s="5" t="inlineStr"/>
      <c r="E172" s="6" t="n">
        <v>1500.01</v>
      </c>
      <c r="F172" s="6" t="n">
        <v>8706.02</v>
      </c>
    </row>
    <row r="173" ht="20" customHeight="1">
      <c r="A173" s="7" t="n">
        <v>43851</v>
      </c>
      <c r="B173" s="8" t="inlineStr">
        <is>
          <t>Invoice</t>
        </is>
      </c>
      <c r="C173" s="8" t="inlineStr">
        <is>
          <t>6205</t>
        </is>
      </c>
      <c r="D173" s="9" t="inlineStr"/>
      <c r="E173" s="10" t="n">
        <v>1875.02</v>
      </c>
      <c r="F173" s="10" t="n">
        <v>10581.04</v>
      </c>
    </row>
    <row r="174" ht="20" customHeight="1">
      <c r="A174" s="3" t="n">
        <v>43853</v>
      </c>
      <c r="B174" s="4" t="inlineStr">
        <is>
          <t>Invoice</t>
        </is>
      </c>
      <c r="C174" s="4" t="inlineStr">
        <is>
          <t>6209</t>
        </is>
      </c>
      <c r="D174" s="5" t="inlineStr"/>
      <c r="E174" s="6" t="n">
        <v>1500.01</v>
      </c>
      <c r="F174" s="6" t="n">
        <v>12081.05</v>
      </c>
    </row>
    <row r="175" ht="20" customHeight="1">
      <c r="A175" s="7" t="n">
        <v>43858</v>
      </c>
      <c r="B175" s="8" t="inlineStr">
        <is>
          <t>Invoice</t>
        </is>
      </c>
      <c r="C175" s="8" t="inlineStr">
        <is>
          <t>6230</t>
        </is>
      </c>
      <c r="D175" s="9" t="inlineStr"/>
      <c r="E175" s="10" t="n">
        <v>1500.01</v>
      </c>
      <c r="F175" s="10" t="n">
        <v>13581.06</v>
      </c>
    </row>
    <row r="176" ht="20" customHeight="1">
      <c r="A176" s="3" t="n">
        <v>43860</v>
      </c>
      <c r="B176" s="4" t="inlineStr">
        <is>
          <t>Invoice</t>
        </is>
      </c>
      <c r="C176" s="4" t="inlineStr">
        <is>
          <t>6238</t>
        </is>
      </c>
      <c r="D176" s="5" t="inlineStr"/>
      <c r="E176" s="6" t="n">
        <v>1500.01</v>
      </c>
      <c r="F176" s="6" t="n">
        <v>15081.07</v>
      </c>
    </row>
    <row r="177" ht="20" customHeight="1">
      <c r="A177" s="7" t="n">
        <v>43862</v>
      </c>
      <c r="B177" s="8" t="inlineStr">
        <is>
          <t>Opening Balance</t>
        </is>
      </c>
      <c r="C177" s="8" t="inlineStr"/>
      <c r="D177" s="9" t="inlineStr"/>
      <c r="E177" s="10" t="n"/>
      <c r="F177" s="10" t="n">
        <v>15081.07</v>
      </c>
    </row>
    <row r="178" ht="20" customHeight="1">
      <c r="A178" s="3" t="n">
        <v>43864</v>
      </c>
      <c r="B178" s="4" t="inlineStr">
        <is>
          <t>Invoice</t>
        </is>
      </c>
      <c r="C178" s="4" t="inlineStr">
        <is>
          <t>6248</t>
        </is>
      </c>
      <c r="D178" s="5" t="inlineStr"/>
      <c r="E178" s="6" t="n">
        <v>1125.01</v>
      </c>
      <c r="F178" s="6" t="n">
        <v>16206.08</v>
      </c>
    </row>
    <row r="179" ht="20" customHeight="1">
      <c r="A179" s="7" t="n">
        <v>43867</v>
      </c>
      <c r="B179" s="8" t="inlineStr">
        <is>
          <t>Invoice</t>
        </is>
      </c>
      <c r="C179" s="8" t="inlineStr">
        <is>
          <t>6260</t>
        </is>
      </c>
      <c r="D179" s="9" t="inlineStr"/>
      <c r="E179" s="10" t="n">
        <v>1125</v>
      </c>
      <c r="F179" s="10" t="n">
        <v>17331.08</v>
      </c>
    </row>
    <row r="180" ht="20" customHeight="1">
      <c r="A180" s="3" t="n">
        <v>43871</v>
      </c>
      <c r="B180" s="4" t="inlineStr">
        <is>
          <t>Invoice</t>
        </is>
      </c>
      <c r="C180" s="4" t="inlineStr">
        <is>
          <t>6277</t>
        </is>
      </c>
      <c r="D180" s="5" t="inlineStr"/>
      <c r="E180" s="6" t="n">
        <v>1875.02</v>
      </c>
      <c r="F180" s="6" t="n">
        <v>19206.1</v>
      </c>
    </row>
    <row r="181" ht="20" customHeight="1">
      <c r="A181" s="7" t="n">
        <v>43874</v>
      </c>
      <c r="B181" s="8" t="inlineStr">
        <is>
          <t>Invoice</t>
        </is>
      </c>
      <c r="C181" s="8" t="inlineStr">
        <is>
          <t>6293</t>
        </is>
      </c>
      <c r="D181" s="9" t="inlineStr"/>
      <c r="E181" s="10" t="n">
        <v>1500</v>
      </c>
      <c r="F181" s="10" t="n">
        <v>20706.1</v>
      </c>
    </row>
    <row r="182" ht="20" customHeight="1">
      <c r="A182" s="3" t="n">
        <v>43878</v>
      </c>
      <c r="B182" s="4" t="inlineStr">
        <is>
          <t>Invoice</t>
        </is>
      </c>
      <c r="C182" s="4" t="inlineStr">
        <is>
          <t>6306</t>
        </is>
      </c>
      <c r="D182" s="5" t="inlineStr"/>
      <c r="E182" s="6" t="n">
        <v>1874.99</v>
      </c>
      <c r="F182" s="6" t="n">
        <v>22581.09</v>
      </c>
    </row>
    <row r="183" ht="20" customHeight="1">
      <c r="A183" s="7" t="n">
        <v>43881</v>
      </c>
      <c r="B183" s="8" t="inlineStr">
        <is>
          <t>Invoice</t>
        </is>
      </c>
      <c r="C183" s="8" t="inlineStr">
        <is>
          <t>6330</t>
        </is>
      </c>
      <c r="D183" s="9" t="inlineStr"/>
      <c r="E183" s="10" t="n">
        <v>1125</v>
      </c>
      <c r="F183" s="10" t="n">
        <v>23706.09</v>
      </c>
    </row>
    <row r="184" ht="20" customHeight="1">
      <c r="A184" s="3" t="n">
        <v>43885</v>
      </c>
      <c r="B184" s="4" t="inlineStr">
        <is>
          <t>Invoice</t>
        </is>
      </c>
      <c r="C184" s="4" t="inlineStr">
        <is>
          <t>6341</t>
        </is>
      </c>
      <c r="D184" s="5" t="inlineStr"/>
      <c r="E184" s="6" t="n">
        <v>1500.01</v>
      </c>
      <c r="F184" s="6" t="n">
        <v>25206.1</v>
      </c>
    </row>
    <row r="185" ht="20" customHeight="1">
      <c r="A185" s="7" t="n">
        <v>43888</v>
      </c>
      <c r="B185" s="8" t="inlineStr">
        <is>
          <t>Invoice</t>
        </is>
      </c>
      <c r="C185" s="8" t="inlineStr">
        <is>
          <t>6354</t>
        </is>
      </c>
      <c r="D185" s="9" t="inlineStr"/>
      <c r="E185" s="10" t="n">
        <v>1125</v>
      </c>
      <c r="F185" s="10" t="n">
        <v>26331.1</v>
      </c>
    </row>
    <row r="186" ht="20" customHeight="1">
      <c r="A186" s="3" t="n">
        <v>43891</v>
      </c>
      <c r="B186" s="4" t="inlineStr">
        <is>
          <t>Opening Balance</t>
        </is>
      </c>
      <c r="C186" s="4" t="inlineStr"/>
      <c r="D186" s="5" t="inlineStr"/>
      <c r="E186" s="6" t="n"/>
      <c r="F186" s="6" t="n">
        <v>26331.1</v>
      </c>
    </row>
    <row r="187" ht="20" customHeight="1">
      <c r="A187" s="7" t="n">
        <v>43892</v>
      </c>
      <c r="B187" s="8" t="inlineStr">
        <is>
          <t>Payment</t>
        </is>
      </c>
      <c r="C187" s="8" t="inlineStr">
        <is>
          <t>00006685</t>
        </is>
      </c>
      <c r="D187" s="9" t="inlineStr"/>
      <c r="E187" s="10" t="n">
        <v>-15302.8</v>
      </c>
      <c r="F187" s="10" t="n">
        <v>11028.3</v>
      </c>
    </row>
    <row r="188" ht="20" customHeight="1">
      <c r="A188" s="3" t="n">
        <v>43893</v>
      </c>
      <c r="B188" s="4" t="inlineStr">
        <is>
          <t>Invoice</t>
        </is>
      </c>
      <c r="C188" s="4" t="inlineStr">
        <is>
          <t>6367</t>
        </is>
      </c>
      <c r="D188" s="5" t="inlineStr"/>
      <c r="E188" s="6" t="n">
        <v>1875.02</v>
      </c>
      <c r="F188" s="6" t="n">
        <v>12903.32</v>
      </c>
    </row>
    <row r="189" ht="20" customHeight="1">
      <c r="A189" s="7" t="n">
        <v>43895</v>
      </c>
      <c r="B189" s="8" t="inlineStr">
        <is>
          <t>Invoice</t>
        </is>
      </c>
      <c r="C189" s="8" t="inlineStr">
        <is>
          <t>6381</t>
        </is>
      </c>
      <c r="D189" s="9" t="inlineStr"/>
      <c r="E189" s="10" t="n">
        <v>750.01</v>
      </c>
      <c r="F189" s="10" t="n">
        <v>13653.33</v>
      </c>
    </row>
    <row r="190" ht="20" customHeight="1">
      <c r="A190" s="3" t="n">
        <v>43899</v>
      </c>
      <c r="B190" s="4" t="inlineStr">
        <is>
          <t>Invoice</t>
        </is>
      </c>
      <c r="C190" s="4" t="inlineStr">
        <is>
          <t>6394</t>
        </is>
      </c>
      <c r="D190" s="5" t="inlineStr"/>
      <c r="E190" s="6" t="n">
        <v>1500</v>
      </c>
      <c r="F190" s="6" t="n">
        <v>15153.33</v>
      </c>
    </row>
    <row r="191" ht="20" customHeight="1">
      <c r="A191" s="7" t="n">
        <v>43902</v>
      </c>
      <c r="B191" s="8" t="inlineStr">
        <is>
          <t>Invoice</t>
        </is>
      </c>
      <c r="C191" s="8" t="inlineStr">
        <is>
          <t>6401</t>
        </is>
      </c>
      <c r="D191" s="9" t="inlineStr"/>
      <c r="E191" s="10" t="n">
        <v>1500</v>
      </c>
      <c r="F191" s="10" t="n">
        <v>16653.33</v>
      </c>
    </row>
    <row r="192" ht="20" customHeight="1">
      <c r="A192" s="3" t="n">
        <v>43906</v>
      </c>
      <c r="B192" s="4" t="inlineStr">
        <is>
          <t>Invoice</t>
        </is>
      </c>
      <c r="C192" s="4" t="inlineStr">
        <is>
          <t>6417</t>
        </is>
      </c>
      <c r="D192" s="5" t="inlineStr"/>
      <c r="E192" s="6" t="n">
        <v>1500</v>
      </c>
      <c r="F192" s="6" t="n">
        <v>18153.33</v>
      </c>
    </row>
    <row r="193" ht="20" customHeight="1">
      <c r="A193" s="7" t="n">
        <v>43909</v>
      </c>
      <c r="B193" s="8" t="inlineStr">
        <is>
          <t>Invoice</t>
        </is>
      </c>
      <c r="C193" s="8" t="inlineStr">
        <is>
          <t>6428</t>
        </is>
      </c>
      <c r="D193" s="9" t="inlineStr"/>
      <c r="E193" s="10" t="n">
        <v>1500</v>
      </c>
      <c r="F193" s="10" t="n">
        <v>19653.33</v>
      </c>
    </row>
    <row r="194" ht="20" customHeight="1">
      <c r="A194" s="3" t="n">
        <v>43913</v>
      </c>
      <c r="B194" s="4" t="inlineStr">
        <is>
          <t>Invoice</t>
        </is>
      </c>
      <c r="C194" s="4" t="inlineStr">
        <is>
          <t>6446</t>
        </is>
      </c>
      <c r="D194" s="5" t="inlineStr"/>
      <c r="E194" s="6" t="n">
        <v>1500</v>
      </c>
      <c r="F194" s="6" t="n">
        <v>21153.33</v>
      </c>
    </row>
    <row r="195" ht="20" customHeight="1">
      <c r="A195" s="7" t="n">
        <v>43983</v>
      </c>
      <c r="B195" s="8" t="inlineStr">
        <is>
          <t>Opening Balance</t>
        </is>
      </c>
      <c r="C195" s="8" t="inlineStr"/>
      <c r="D195" s="9" t="inlineStr"/>
      <c r="E195" s="10" t="n"/>
      <c r="F195" s="10" t="n">
        <v>21153.33</v>
      </c>
    </row>
    <row r="196" ht="20" customHeight="1">
      <c r="A196" s="3" t="n">
        <v>43985</v>
      </c>
      <c r="B196" s="4" t="inlineStr">
        <is>
          <t>Payment</t>
        </is>
      </c>
      <c r="C196" s="4" t="inlineStr">
        <is>
          <t>00007216</t>
        </is>
      </c>
      <c r="D196" s="5" t="inlineStr"/>
      <c r="E196" s="6" t="n">
        <v>-3250</v>
      </c>
      <c r="F196" s="6" t="n">
        <v>17903.33</v>
      </c>
    </row>
    <row r="197" ht="20" customHeight="1">
      <c r="A197" s="7" t="n">
        <v>44010</v>
      </c>
      <c r="B197" s="8" t="inlineStr">
        <is>
          <t>Payment</t>
        </is>
      </c>
      <c r="C197" s="8" t="inlineStr">
        <is>
          <t>00007226</t>
        </is>
      </c>
      <c r="D197" s="9" t="inlineStr"/>
      <c r="E197" s="10" t="n">
        <v>-5000</v>
      </c>
      <c r="F197" s="10" t="n">
        <v>12903.33</v>
      </c>
    </row>
    <row r="198" ht="20" customHeight="1">
      <c r="A198" s="3" t="n">
        <v>44044</v>
      </c>
      <c r="B198" s="4" t="inlineStr">
        <is>
          <t>Opening Balance</t>
        </is>
      </c>
      <c r="C198" s="4" t="inlineStr"/>
      <c r="D198" s="5" t="inlineStr"/>
      <c r="E198" s="6" t="n"/>
      <c r="F198" s="6" t="n">
        <v>12903.33</v>
      </c>
    </row>
    <row r="199" ht="20" customHeight="1">
      <c r="A199" s="7" t="n">
        <v>44046</v>
      </c>
      <c r="B199" s="8" t="inlineStr">
        <is>
          <t>Payment</t>
        </is>
      </c>
      <c r="C199" s="8" t="inlineStr">
        <is>
          <t>00007348</t>
        </is>
      </c>
      <c r="D199" s="9" t="inlineStr"/>
      <c r="E199" s="10" t="n">
        <v>-3000</v>
      </c>
      <c r="F199" s="10" t="n">
        <v>9903.33</v>
      </c>
    </row>
    <row r="200" ht="20" customHeight="1">
      <c r="A200" s="3" t="n">
        <v>44075</v>
      </c>
      <c r="B200" s="4" t="inlineStr">
        <is>
          <t>Opening Balance</t>
        </is>
      </c>
      <c r="C200" s="4" t="inlineStr"/>
      <c r="D200" s="5" t="inlineStr"/>
      <c r="E200" s="6" t="n"/>
      <c r="F200" s="6" t="n">
        <v>9903.33</v>
      </c>
    </row>
    <row r="201" ht="20" customHeight="1">
      <c r="A201" s="7" t="n">
        <v>44077</v>
      </c>
      <c r="B201" s="8" t="inlineStr">
        <is>
          <t>Payment</t>
        </is>
      </c>
      <c r="C201" s="8" t="inlineStr">
        <is>
          <t>00007489</t>
        </is>
      </c>
      <c r="D201" s="9" t="inlineStr"/>
      <c r="E201" s="10" t="n">
        <v>-5000</v>
      </c>
      <c r="F201" s="10" t="n">
        <v>4903.33</v>
      </c>
    </row>
    <row r="202" ht="20" customHeight="1">
      <c r="A202" s="3" t="n">
        <v>44136</v>
      </c>
      <c r="B202" s="4" t="inlineStr">
        <is>
          <t>Opening Balance</t>
        </is>
      </c>
      <c r="C202" s="4" t="inlineStr"/>
      <c r="D202" s="5" t="inlineStr"/>
      <c r="E202" s="6" t="n"/>
      <c r="F202" s="6" t="n">
        <v>4903.33</v>
      </c>
    </row>
    <row r="203" ht="20" customHeight="1">
      <c r="A203" s="7" t="n">
        <v>44139</v>
      </c>
      <c r="B203" s="8" t="inlineStr">
        <is>
          <t>Payment</t>
        </is>
      </c>
      <c r="C203" s="8" t="inlineStr">
        <is>
          <t>00007572</t>
        </is>
      </c>
      <c r="D203" s="9" t="inlineStr"/>
      <c r="E203" s="10" t="n">
        <v>-5125</v>
      </c>
      <c r="F203" s="10" t="n">
        <v>-221.67</v>
      </c>
    </row>
    <row r="204" ht="20" customHeight="1">
      <c r="A204" s="3" t="n">
        <v>44256</v>
      </c>
      <c r="B204" s="4" t="inlineStr">
        <is>
          <t>Opening Balance</t>
        </is>
      </c>
      <c r="C204" s="4" t="inlineStr"/>
      <c r="D204" s="5" t="inlineStr"/>
      <c r="E204" s="6" t="n"/>
      <c r="F204" s="6" t="n">
        <v>-221.67</v>
      </c>
    </row>
    <row r="205" ht="20" customHeight="1">
      <c r="A205" s="7" t="n">
        <v>44259</v>
      </c>
      <c r="B205" s="8" t="inlineStr">
        <is>
          <t>Invoice</t>
        </is>
      </c>
      <c r="C205" s="8" t="inlineStr">
        <is>
          <t>7903</t>
        </is>
      </c>
      <c r="D205" s="9" t="inlineStr"/>
      <c r="E205" s="10" t="n">
        <v>1138.02</v>
      </c>
      <c r="F205" s="10" t="n">
        <v>916.35</v>
      </c>
    </row>
    <row r="206" ht="20" customHeight="1">
      <c r="A206" s="3" t="n">
        <v>44263</v>
      </c>
      <c r="B206" s="4" t="inlineStr">
        <is>
          <t>Invoice</t>
        </is>
      </c>
      <c r="C206" s="4" t="inlineStr">
        <is>
          <t>7925</t>
        </is>
      </c>
      <c r="D206" s="5" t="inlineStr"/>
      <c r="E206" s="6" t="n">
        <v>1517.36</v>
      </c>
      <c r="F206" s="6" t="n">
        <v>2433.71</v>
      </c>
    </row>
    <row r="207" ht="20" customHeight="1">
      <c r="A207" s="7" t="n">
        <v>44267</v>
      </c>
      <c r="B207" s="8" t="inlineStr">
        <is>
          <t>Invoice</t>
        </is>
      </c>
      <c r="C207" s="8" t="inlineStr">
        <is>
          <t>7953</t>
        </is>
      </c>
      <c r="D207" s="9" t="inlineStr"/>
      <c r="E207" s="10" t="n">
        <v>1517.36</v>
      </c>
      <c r="F207" s="10" t="n">
        <v>3951.07</v>
      </c>
    </row>
    <row r="208" ht="20" customHeight="1">
      <c r="A208" s="3" t="n">
        <v>44272</v>
      </c>
      <c r="B208" s="4" t="inlineStr">
        <is>
          <t>Invoice</t>
        </is>
      </c>
      <c r="C208" s="4" t="inlineStr">
        <is>
          <t>7984</t>
        </is>
      </c>
      <c r="D208" s="5" t="inlineStr"/>
      <c r="E208" s="6" t="n">
        <v>2276.03</v>
      </c>
      <c r="F208" s="6" t="n">
        <v>6227.1</v>
      </c>
    </row>
    <row r="209" ht="20" customHeight="1">
      <c r="A209" s="7" t="n">
        <v>44278</v>
      </c>
      <c r="B209" s="8" t="inlineStr">
        <is>
          <t>Invoice</t>
        </is>
      </c>
      <c r="C209" s="8" t="inlineStr">
        <is>
          <t>8026</t>
        </is>
      </c>
      <c r="D209" s="9" t="inlineStr"/>
      <c r="E209" s="10" t="n">
        <v>1517.36</v>
      </c>
      <c r="F209" s="10" t="n">
        <v>7744.46</v>
      </c>
    </row>
    <row r="210" ht="20" customHeight="1">
      <c r="A210" s="3" t="n">
        <v>44280</v>
      </c>
      <c r="B210" s="4" t="inlineStr">
        <is>
          <t>Invoice</t>
        </is>
      </c>
      <c r="C210" s="4" t="inlineStr">
        <is>
          <t>8059</t>
        </is>
      </c>
      <c r="D210" s="5" t="inlineStr"/>
      <c r="E210" s="6" t="n">
        <v>1517.36</v>
      </c>
      <c r="F210" s="6" t="n">
        <v>9261.82</v>
      </c>
    </row>
    <row r="211" ht="20" customHeight="1">
      <c r="A211" s="7" t="n">
        <v>44284</v>
      </c>
      <c r="B211" s="8" t="inlineStr">
        <is>
          <t>Invoice</t>
        </is>
      </c>
      <c r="C211" s="8" t="inlineStr">
        <is>
          <t>8090</t>
        </is>
      </c>
      <c r="D211" s="9" t="inlineStr"/>
      <c r="E211" s="10" t="n">
        <v>3034.71</v>
      </c>
      <c r="F211" s="10" t="n">
        <v>12296.53</v>
      </c>
    </row>
    <row r="212" ht="20" customHeight="1">
      <c r="A212" s="3" t="n">
        <v>44287</v>
      </c>
      <c r="B212" s="4" t="inlineStr">
        <is>
          <t>Opening Balance</t>
        </is>
      </c>
      <c r="C212" s="4" t="inlineStr"/>
      <c r="D212" s="5" t="inlineStr"/>
      <c r="E212" s="6" t="n"/>
      <c r="F212" s="6" t="n">
        <v>12296.53</v>
      </c>
    </row>
    <row r="213" ht="20" customHeight="1">
      <c r="A213" s="7" t="n">
        <v>44291</v>
      </c>
      <c r="B213" s="8" t="inlineStr">
        <is>
          <t>Invoice</t>
        </is>
      </c>
      <c r="C213" s="8" t="inlineStr">
        <is>
          <t>8128</t>
        </is>
      </c>
      <c r="D213" s="9" t="inlineStr"/>
      <c r="E213" s="10" t="n">
        <v>379.34</v>
      </c>
      <c r="F213" s="10" t="n">
        <v>12675.87</v>
      </c>
    </row>
    <row r="214" ht="20" customHeight="1">
      <c r="A214" s="3" t="n">
        <v>44292</v>
      </c>
      <c r="B214" s="4" t="inlineStr">
        <is>
          <t>Invoice</t>
        </is>
      </c>
      <c r="C214" s="4" t="inlineStr">
        <is>
          <t>8137</t>
        </is>
      </c>
      <c r="D214" s="5" t="inlineStr"/>
      <c r="E214" s="6" t="n">
        <v>1896.7</v>
      </c>
      <c r="F214" s="6" t="n">
        <v>14572.57</v>
      </c>
    </row>
    <row r="215" ht="20" customHeight="1">
      <c r="A215" s="7" t="n">
        <v>44292</v>
      </c>
      <c r="B215" s="8" t="inlineStr">
        <is>
          <t>Invoice</t>
        </is>
      </c>
      <c r="C215" s="8" t="inlineStr">
        <is>
          <t>8147</t>
        </is>
      </c>
      <c r="D215" s="9" t="inlineStr"/>
      <c r="E215" s="10" t="n">
        <v>1517.36</v>
      </c>
      <c r="F215" s="10" t="n">
        <v>16089.93</v>
      </c>
    </row>
    <row r="216" ht="20" customHeight="1">
      <c r="A216" s="3" t="n">
        <v>44294</v>
      </c>
      <c r="B216" s="4" t="inlineStr">
        <is>
          <t>Payment</t>
        </is>
      </c>
      <c r="C216" s="4" t="inlineStr">
        <is>
          <t>00008420</t>
        </is>
      </c>
      <c r="D216" s="5" t="inlineStr"/>
      <c r="E216" s="6" t="n">
        <v>-12518.21</v>
      </c>
      <c r="F216" s="6" t="n">
        <v>3571.72</v>
      </c>
    </row>
    <row r="217" ht="20" customHeight="1">
      <c r="A217" s="7" t="n">
        <v>44302</v>
      </c>
      <c r="B217" s="8" t="inlineStr">
        <is>
          <t>Invoice</t>
        </is>
      </c>
      <c r="C217" s="8" t="inlineStr">
        <is>
          <t>8225</t>
        </is>
      </c>
      <c r="D217" s="9" t="inlineStr"/>
      <c r="E217" s="10" t="n">
        <v>1617.96</v>
      </c>
      <c r="F217" s="10" t="n">
        <v>5189.68</v>
      </c>
    </row>
    <row r="218" ht="20" customHeight="1">
      <c r="A218" s="3" t="n">
        <v>44305</v>
      </c>
      <c r="B218" s="4" t="inlineStr">
        <is>
          <t>Invoice</t>
        </is>
      </c>
      <c r="C218" s="4" t="inlineStr">
        <is>
          <t>8249</t>
        </is>
      </c>
      <c r="D218" s="5" t="inlineStr"/>
      <c r="E218" s="6" t="n">
        <v>1213.47</v>
      </c>
      <c r="F218" s="6" t="n">
        <v>6403.15</v>
      </c>
    </row>
    <row r="219" ht="20" customHeight="1">
      <c r="A219" s="7" t="n">
        <v>44308</v>
      </c>
      <c r="B219" s="8" t="inlineStr">
        <is>
          <t>Invoice</t>
        </is>
      </c>
      <c r="C219" s="8" t="inlineStr">
        <is>
          <t>8276</t>
        </is>
      </c>
      <c r="D219" s="9" t="inlineStr"/>
      <c r="E219" s="10" t="n">
        <v>1213.47</v>
      </c>
      <c r="F219" s="10" t="n">
        <v>7616.62</v>
      </c>
    </row>
    <row r="220" ht="20" customHeight="1">
      <c r="A220" s="3" t="n">
        <v>44314</v>
      </c>
      <c r="B220" s="4" t="inlineStr">
        <is>
          <t>Invoice</t>
        </is>
      </c>
      <c r="C220" s="4" t="inlineStr">
        <is>
          <t>8321</t>
        </is>
      </c>
      <c r="D220" s="5" t="inlineStr"/>
      <c r="E220" s="6" t="n">
        <v>1927.46</v>
      </c>
      <c r="F220" s="6" t="n">
        <v>9544.08</v>
      </c>
    </row>
    <row r="221" ht="20" customHeight="1">
      <c r="A221" s="7" t="n">
        <v>44317</v>
      </c>
      <c r="B221" s="8" t="inlineStr">
        <is>
          <t>Opening Balance</t>
        </is>
      </c>
      <c r="C221" s="8" t="inlineStr"/>
      <c r="D221" s="9" t="inlineStr"/>
      <c r="E221" s="10" t="n"/>
      <c r="F221" s="10" t="n">
        <v>9544.08</v>
      </c>
    </row>
    <row r="222" ht="20" customHeight="1">
      <c r="A222" s="3" t="n">
        <v>44319</v>
      </c>
      <c r="B222" s="4" t="inlineStr">
        <is>
          <t>Invoice</t>
        </is>
      </c>
      <c r="C222" s="4" t="inlineStr">
        <is>
          <t>8368</t>
        </is>
      </c>
      <c r="D222" s="5" t="inlineStr"/>
      <c r="E222" s="6" t="n">
        <v>2498.96</v>
      </c>
      <c r="F222" s="6" t="n">
        <v>12043.04</v>
      </c>
    </row>
    <row r="223" ht="20" customHeight="1">
      <c r="A223" s="7" t="n">
        <v>44322</v>
      </c>
      <c r="B223" s="8" t="inlineStr">
        <is>
          <t>Invoice</t>
        </is>
      </c>
      <c r="C223" s="8" t="inlineStr">
        <is>
          <t>8399</t>
        </is>
      </c>
      <c r="D223" s="9" t="inlineStr"/>
      <c r="E223" s="10" t="n">
        <v>1440.58</v>
      </c>
      <c r="F223" s="10" t="n">
        <v>13483.62</v>
      </c>
    </row>
    <row r="224" ht="20" customHeight="1">
      <c r="A224" s="3" t="n">
        <v>44326</v>
      </c>
      <c r="B224" s="4" t="inlineStr">
        <is>
          <t>Payment</t>
        </is>
      </c>
      <c r="C224" s="4" t="inlineStr">
        <is>
          <t>00008764</t>
        </is>
      </c>
      <c r="D224" s="5" t="inlineStr"/>
      <c r="E224" s="6" t="n">
        <v>-9765.76</v>
      </c>
      <c r="F224" s="6" t="n">
        <v>3717.86</v>
      </c>
    </row>
    <row r="225" ht="20" customHeight="1">
      <c r="A225" s="7" t="n">
        <v>44327</v>
      </c>
      <c r="B225" s="8" t="inlineStr">
        <is>
          <t>Invoice</t>
        </is>
      </c>
      <c r="C225" s="8" t="inlineStr">
        <is>
          <t>8441</t>
        </is>
      </c>
      <c r="D225" s="9" t="inlineStr"/>
      <c r="E225" s="10" t="n">
        <v>1080.44</v>
      </c>
      <c r="F225" s="10" t="n">
        <v>4798.3</v>
      </c>
    </row>
    <row r="226" ht="20" customHeight="1">
      <c r="A226" s="3" t="n">
        <v>44329</v>
      </c>
      <c r="B226" s="4" t="inlineStr">
        <is>
          <t>Invoice</t>
        </is>
      </c>
      <c r="C226" s="4" t="inlineStr">
        <is>
          <t>8460</t>
        </is>
      </c>
      <c r="D226" s="5" t="inlineStr"/>
      <c r="E226" s="6" t="n">
        <v>720.29</v>
      </c>
      <c r="F226" s="6" t="n">
        <v>5518.59</v>
      </c>
    </row>
    <row r="227" ht="20" customHeight="1">
      <c r="A227" s="7" t="n">
        <v>44332</v>
      </c>
      <c r="B227" s="8" t="inlineStr">
        <is>
          <t>Invoice</t>
        </is>
      </c>
      <c r="C227" s="8" t="inlineStr">
        <is>
          <t>8475</t>
        </is>
      </c>
      <c r="D227" s="9" t="inlineStr"/>
      <c r="E227" s="10" t="n">
        <v>1800.73</v>
      </c>
      <c r="F227" s="10" t="n">
        <v>7319.32</v>
      </c>
    </row>
    <row r="228" ht="20" customHeight="1">
      <c r="A228" s="3" t="n">
        <v>44335</v>
      </c>
      <c r="B228" s="4" t="inlineStr">
        <is>
          <t>Invoice</t>
        </is>
      </c>
      <c r="C228" s="4" t="inlineStr">
        <is>
          <t>8510</t>
        </is>
      </c>
      <c r="D228" s="5" t="inlineStr"/>
      <c r="E228" s="6" t="n">
        <v>1080.44</v>
      </c>
      <c r="F228" s="6" t="n">
        <v>8399.76</v>
      </c>
    </row>
    <row r="229" ht="20" customHeight="1">
      <c r="A229" s="7" t="n">
        <v>44339</v>
      </c>
      <c r="B229" s="8" t="inlineStr">
        <is>
          <t>Invoice</t>
        </is>
      </c>
      <c r="C229" s="8" t="inlineStr">
        <is>
          <t>8554</t>
        </is>
      </c>
      <c r="D229" s="9" t="inlineStr"/>
      <c r="E229" s="10" t="n">
        <v>1080.44</v>
      </c>
      <c r="F229" s="10" t="n">
        <v>9480.200000000001</v>
      </c>
    </row>
    <row r="230" ht="20" customHeight="1">
      <c r="A230" s="3" t="n">
        <v>44343</v>
      </c>
      <c r="B230" s="4" t="inlineStr">
        <is>
          <t>Invoice</t>
        </is>
      </c>
      <c r="C230" s="4" t="inlineStr">
        <is>
          <t>8607</t>
        </is>
      </c>
      <c r="D230" s="5" t="inlineStr"/>
      <c r="E230" s="6" t="n">
        <v>1440.58</v>
      </c>
      <c r="F230" s="6" t="n">
        <v>10920.78</v>
      </c>
    </row>
    <row r="231" ht="20" customHeight="1">
      <c r="A231" s="7" t="n">
        <v>44346</v>
      </c>
      <c r="B231" s="8" t="inlineStr">
        <is>
          <t>Invoice</t>
        </is>
      </c>
      <c r="C231" s="8" t="inlineStr">
        <is>
          <t>8629</t>
        </is>
      </c>
      <c r="D231" s="9" t="inlineStr"/>
      <c r="E231" s="10" t="n">
        <v>1080.44</v>
      </c>
      <c r="F231" s="10" t="n">
        <v>12001.22</v>
      </c>
    </row>
    <row r="232" ht="20" customHeight="1">
      <c r="A232" s="3" t="n">
        <v>44348</v>
      </c>
      <c r="B232" s="4" t="inlineStr">
        <is>
          <t>Opening Balance</t>
        </is>
      </c>
      <c r="C232" s="4" t="inlineStr"/>
      <c r="D232" s="5" t="inlineStr"/>
      <c r="E232" s="6" t="n"/>
      <c r="F232" s="6" t="n">
        <v>12001.22</v>
      </c>
    </row>
    <row r="233" ht="20" customHeight="1">
      <c r="A233" s="7" t="n">
        <v>44349</v>
      </c>
      <c r="B233" s="8" t="inlineStr">
        <is>
          <t>Payment</t>
        </is>
      </c>
      <c r="C233" s="8" t="inlineStr">
        <is>
          <t>00009315</t>
        </is>
      </c>
      <c r="D233" s="9" t="inlineStr"/>
      <c r="E233" s="10" t="n">
        <v>-12222.9</v>
      </c>
      <c r="F233" s="10" t="n">
        <v>-221.68</v>
      </c>
    </row>
    <row r="234" ht="20" customHeight="1">
      <c r="A234" s="3" t="n">
        <v>44350</v>
      </c>
      <c r="B234" s="4" t="inlineStr">
        <is>
          <t>Invoice</t>
        </is>
      </c>
      <c r="C234" s="4" t="inlineStr">
        <is>
          <t>8692</t>
        </is>
      </c>
      <c r="D234" s="5" t="inlineStr"/>
      <c r="E234" s="6" t="n">
        <v>1800.73</v>
      </c>
      <c r="F234" s="6" t="n">
        <v>1579.05</v>
      </c>
    </row>
    <row r="235" ht="20" customHeight="1">
      <c r="A235" s="7" t="n">
        <v>44353</v>
      </c>
      <c r="B235" s="8" t="inlineStr">
        <is>
          <t>Invoice</t>
        </is>
      </c>
      <c r="C235" s="8" t="inlineStr">
        <is>
          <t>8730</t>
        </is>
      </c>
      <c r="D235" s="9" t="inlineStr"/>
      <c r="E235" s="10" t="n">
        <v>1080.44</v>
      </c>
      <c r="F235" s="10" t="n">
        <v>2659.49</v>
      </c>
    </row>
    <row r="236" ht="20" customHeight="1">
      <c r="A236" s="3" t="n">
        <v>44356</v>
      </c>
      <c r="B236" s="4" t="inlineStr">
        <is>
          <t>Invoice</t>
        </is>
      </c>
      <c r="C236" s="4" t="inlineStr">
        <is>
          <t>8805</t>
        </is>
      </c>
      <c r="D236" s="5" t="inlineStr"/>
      <c r="E236" s="6" t="n">
        <v>1969.98</v>
      </c>
      <c r="F236" s="6" t="n">
        <v>4629.47</v>
      </c>
    </row>
    <row r="237" ht="20" customHeight="1">
      <c r="A237" s="7" t="n">
        <v>44356</v>
      </c>
      <c r="B237" s="8" t="inlineStr">
        <is>
          <t>Invoice</t>
        </is>
      </c>
      <c r="C237" s="8" t="inlineStr">
        <is>
          <t>8809</t>
        </is>
      </c>
      <c r="D237" s="9" t="inlineStr"/>
      <c r="E237" s="10" t="n">
        <v>170</v>
      </c>
      <c r="F237" s="10" t="n">
        <v>4799.47</v>
      </c>
    </row>
    <row r="238" ht="20" customHeight="1">
      <c r="A238" s="3" t="n">
        <v>44361</v>
      </c>
      <c r="B238" s="4" t="inlineStr">
        <is>
          <t>Invoice</t>
        </is>
      </c>
      <c r="C238" s="4" t="inlineStr">
        <is>
          <t>8864</t>
        </is>
      </c>
      <c r="D238" s="5" t="inlineStr"/>
      <c r="E238" s="6" t="n">
        <v>1347.11</v>
      </c>
      <c r="F238" s="6" t="n">
        <v>6146.58</v>
      </c>
    </row>
    <row r="239" ht="20" customHeight="1">
      <c r="A239" s="7" t="n">
        <v>44364</v>
      </c>
      <c r="B239" s="8" t="inlineStr">
        <is>
          <t>Invoice</t>
        </is>
      </c>
      <c r="C239" s="8" t="inlineStr">
        <is>
          <t>8897</t>
        </is>
      </c>
      <c r="D239" s="9" t="inlineStr"/>
      <c r="E239" s="10" t="n">
        <v>1683.89</v>
      </c>
      <c r="F239" s="10" t="n">
        <v>7830.47</v>
      </c>
    </row>
    <row r="240" ht="20" customHeight="1">
      <c r="A240" s="3" t="n">
        <v>44369</v>
      </c>
      <c r="B240" s="4" t="inlineStr">
        <is>
          <t>Invoice</t>
        </is>
      </c>
      <c r="C240" s="4" t="inlineStr">
        <is>
          <t>8953</t>
        </is>
      </c>
      <c r="D240" s="5" t="inlineStr"/>
      <c r="E240" s="6" t="n">
        <v>1799.98</v>
      </c>
      <c r="F240" s="6" t="n">
        <v>9630.450000000001</v>
      </c>
    </row>
    <row r="241" ht="20" customHeight="1">
      <c r="A241" s="7" t="n">
        <v>44370</v>
      </c>
      <c r="B241" s="8" t="inlineStr">
        <is>
          <t>Invoice</t>
        </is>
      </c>
      <c r="C241" s="8" t="inlineStr">
        <is>
          <t>8972</t>
        </is>
      </c>
      <c r="D241" s="9" t="inlineStr"/>
      <c r="E241" s="10" t="n">
        <v>1439.98</v>
      </c>
      <c r="F241" s="10" t="n">
        <v>11070.43</v>
      </c>
    </row>
    <row r="242" ht="20" customHeight="1">
      <c r="A242" s="3" t="n">
        <v>44377</v>
      </c>
      <c r="B242" s="4" t="inlineStr">
        <is>
          <t>Payment</t>
        </is>
      </c>
      <c r="C242" s="4" t="inlineStr">
        <is>
          <t>00009996</t>
        </is>
      </c>
      <c r="D242" s="5" t="inlineStr"/>
      <c r="E242" s="6" t="n">
        <v>-11292.11</v>
      </c>
      <c r="F242" s="6" t="n">
        <v>-221.68</v>
      </c>
    </row>
    <row r="243" ht="20" customHeight="1">
      <c r="A243" s="7" t="n">
        <v>44377</v>
      </c>
      <c r="B243" s="8" t="inlineStr">
        <is>
          <t>Invoice</t>
        </is>
      </c>
      <c r="C243" s="8" t="inlineStr">
        <is>
          <t>9069</t>
        </is>
      </c>
      <c r="D243" s="9" t="inlineStr"/>
      <c r="E243" s="10" t="n">
        <v>1079.99</v>
      </c>
      <c r="F243" s="10" t="n">
        <v>858.3099999999999</v>
      </c>
    </row>
    <row r="244" ht="20" customHeight="1">
      <c r="A244" s="3" t="n">
        <v>44378</v>
      </c>
      <c r="B244" s="4" t="inlineStr">
        <is>
          <t>Opening Balance</t>
        </is>
      </c>
      <c r="C244" s="4" t="inlineStr"/>
      <c r="D244" s="5" t="inlineStr"/>
      <c r="E244" s="6" t="n"/>
      <c r="F244" s="6" t="n">
        <v>858.3099999999999</v>
      </c>
    </row>
    <row r="245" ht="20" customHeight="1">
      <c r="A245" s="7" t="n">
        <v>44382</v>
      </c>
      <c r="B245" s="8" t="inlineStr">
        <is>
          <t>Invoice</t>
        </is>
      </c>
      <c r="C245" s="8" t="inlineStr">
        <is>
          <t>9139</t>
        </is>
      </c>
      <c r="D245" s="9" t="inlineStr"/>
      <c r="E245" s="10" t="n">
        <v>1079.99</v>
      </c>
      <c r="F245" s="10" t="n">
        <v>1938.3</v>
      </c>
    </row>
    <row r="246" ht="20" customHeight="1">
      <c r="A246" s="3" t="n">
        <v>44384</v>
      </c>
      <c r="B246" s="4" t="inlineStr">
        <is>
          <t>Invoice</t>
        </is>
      </c>
      <c r="C246" s="4" t="inlineStr">
        <is>
          <t>9169</t>
        </is>
      </c>
      <c r="D246" s="5" t="inlineStr"/>
      <c r="E246" s="6" t="n">
        <v>1459.99</v>
      </c>
      <c r="F246" s="6" t="n">
        <v>3398.29</v>
      </c>
    </row>
    <row r="247" ht="20" customHeight="1">
      <c r="A247" s="7" t="n">
        <v>44395</v>
      </c>
      <c r="B247" s="8" t="inlineStr">
        <is>
          <t>Invoice</t>
        </is>
      </c>
      <c r="C247" s="8" t="inlineStr">
        <is>
          <t>9306</t>
        </is>
      </c>
      <c r="D247" s="9" t="inlineStr"/>
      <c r="E247" s="10" t="n">
        <v>1095</v>
      </c>
      <c r="F247" s="10" t="n">
        <v>4493.29</v>
      </c>
    </row>
    <row r="248" ht="20" customHeight="1">
      <c r="A248" s="3" t="n">
        <v>44398</v>
      </c>
      <c r="B248" s="4" t="inlineStr">
        <is>
          <t>Invoice</t>
        </is>
      </c>
      <c r="C248" s="4" t="inlineStr">
        <is>
          <t>9350</t>
        </is>
      </c>
      <c r="D248" s="5" t="inlineStr"/>
      <c r="E248" s="6" t="n">
        <v>1079.99</v>
      </c>
      <c r="F248" s="6" t="n">
        <v>5573.28</v>
      </c>
    </row>
    <row r="249" ht="20" customHeight="1">
      <c r="A249" s="7" t="n">
        <v>44402</v>
      </c>
      <c r="B249" s="8" t="inlineStr">
        <is>
          <t>Invoice</t>
        </is>
      </c>
      <c r="C249" s="8" t="inlineStr">
        <is>
          <t>9452</t>
        </is>
      </c>
      <c r="D249" s="9" t="inlineStr"/>
      <c r="E249" s="10" t="n">
        <v>1824.99</v>
      </c>
      <c r="F249" s="10" t="n">
        <v>7398.27</v>
      </c>
    </row>
    <row r="250" ht="20" customHeight="1">
      <c r="A250" s="3" t="n">
        <v>44406</v>
      </c>
      <c r="B250" s="4" t="inlineStr">
        <is>
          <t>Invoice</t>
        </is>
      </c>
      <c r="C250" s="4" t="inlineStr">
        <is>
          <t>9517</t>
        </is>
      </c>
      <c r="D250" s="5" t="inlineStr"/>
      <c r="E250" s="6" t="n">
        <v>1459.99</v>
      </c>
      <c r="F250" s="6" t="n">
        <v>8858.26</v>
      </c>
    </row>
    <row r="251" ht="20" customHeight="1">
      <c r="A251" s="7" t="n">
        <v>44409</v>
      </c>
      <c r="B251" s="8" t="inlineStr">
        <is>
          <t>Opening Balance</t>
        </is>
      </c>
      <c r="C251" s="8" t="inlineStr"/>
      <c r="D251" s="9" t="inlineStr"/>
      <c r="E251" s="10" t="n"/>
      <c r="F251" s="10" t="n">
        <v>8858.26</v>
      </c>
    </row>
    <row r="252" ht="20" customHeight="1">
      <c r="A252" s="3" t="n">
        <v>44409</v>
      </c>
      <c r="B252" s="4" t="inlineStr">
        <is>
          <t>Invoice</t>
        </is>
      </c>
      <c r="C252" s="4" t="inlineStr">
        <is>
          <t>9561</t>
        </is>
      </c>
      <c r="D252" s="5" t="inlineStr"/>
      <c r="E252" s="6" t="n">
        <v>1095</v>
      </c>
      <c r="F252" s="6" t="n">
        <v>9953.26</v>
      </c>
    </row>
    <row r="253" ht="20" customHeight="1">
      <c r="A253" s="7" t="n">
        <v>44412</v>
      </c>
      <c r="B253" s="8" t="inlineStr">
        <is>
          <t>Payment</t>
        </is>
      </c>
      <c r="C253" s="8" t="inlineStr">
        <is>
          <t>00010226</t>
        </is>
      </c>
      <c r="D253" s="9" t="inlineStr"/>
      <c r="E253" s="10" t="n">
        <v>-9079.940000000001</v>
      </c>
      <c r="F253" s="10" t="n">
        <v>873.3200000000001</v>
      </c>
    </row>
    <row r="254" ht="20" customHeight="1">
      <c r="A254" s="3" t="n">
        <v>44412</v>
      </c>
      <c r="B254" s="4" t="inlineStr">
        <is>
          <t>Invoice</t>
        </is>
      </c>
      <c r="C254" s="4" t="inlineStr">
        <is>
          <t>9619</t>
        </is>
      </c>
      <c r="D254" s="5" t="inlineStr"/>
      <c r="E254" s="6" t="n">
        <v>1206.02</v>
      </c>
      <c r="F254" s="6" t="n">
        <v>2079.34</v>
      </c>
    </row>
    <row r="255" ht="20" customHeight="1">
      <c r="A255" s="7" t="n">
        <v>44418</v>
      </c>
      <c r="B255" s="8" t="inlineStr">
        <is>
          <t>Invoice</t>
        </is>
      </c>
      <c r="C255" s="8" t="inlineStr">
        <is>
          <t>9692</t>
        </is>
      </c>
      <c r="D255" s="9" t="inlineStr"/>
      <c r="E255" s="10" t="n">
        <v>1790.02</v>
      </c>
      <c r="F255" s="10" t="n">
        <v>3869.36</v>
      </c>
    </row>
    <row r="256" ht="20" customHeight="1">
      <c r="A256" s="3" t="n">
        <v>44420</v>
      </c>
      <c r="B256" s="4" t="inlineStr">
        <is>
          <t>Invoice</t>
        </is>
      </c>
      <c r="C256" s="4" t="inlineStr">
        <is>
          <t>9756</t>
        </is>
      </c>
      <c r="D256" s="5" t="inlineStr"/>
      <c r="E256" s="6" t="n">
        <v>884.1</v>
      </c>
      <c r="F256" s="6" t="n">
        <v>4753.46</v>
      </c>
    </row>
    <row r="257" ht="20" customHeight="1">
      <c r="A257" s="7" t="n">
        <v>44421</v>
      </c>
      <c r="B257" s="8" t="inlineStr">
        <is>
          <t>Invoice</t>
        </is>
      </c>
      <c r="C257" s="8" t="inlineStr">
        <is>
          <t>9760</t>
        </is>
      </c>
      <c r="D257" s="9" t="inlineStr"/>
      <c r="E257" s="10" t="n">
        <v>884.1</v>
      </c>
      <c r="F257" s="10" t="n">
        <v>5637.56</v>
      </c>
    </row>
    <row r="258" ht="20" customHeight="1">
      <c r="A258" s="3" t="n">
        <v>44424</v>
      </c>
      <c r="B258" s="4" t="inlineStr">
        <is>
          <t>Invoice</t>
        </is>
      </c>
      <c r="C258" s="4" t="inlineStr">
        <is>
          <t>9789</t>
        </is>
      </c>
      <c r="D258" s="5" t="inlineStr"/>
      <c r="E258" s="6" t="n">
        <v>1600.02</v>
      </c>
      <c r="F258" s="6" t="n">
        <v>7237.58</v>
      </c>
    </row>
    <row r="259" ht="20" customHeight="1">
      <c r="A259" s="7" t="n">
        <v>44426</v>
      </c>
      <c r="B259" s="8" t="inlineStr">
        <is>
          <t>Invoice</t>
        </is>
      </c>
      <c r="C259" s="8" t="inlineStr">
        <is>
          <t>9841</t>
        </is>
      </c>
      <c r="D259" s="9" t="inlineStr"/>
      <c r="E259" s="10" t="n">
        <v>1600.02</v>
      </c>
      <c r="F259" s="10" t="n">
        <v>8837.6</v>
      </c>
    </row>
    <row r="260" ht="20" customHeight="1">
      <c r="A260" s="3" t="n">
        <v>44430</v>
      </c>
      <c r="B260" s="4" t="inlineStr">
        <is>
          <t>Invoice</t>
        </is>
      </c>
      <c r="C260" s="4" t="inlineStr">
        <is>
          <t>9891</t>
        </is>
      </c>
      <c r="D260" s="5" t="inlineStr"/>
      <c r="E260" s="6" t="n">
        <v>1200.01</v>
      </c>
      <c r="F260" s="6" t="n">
        <v>10037.61</v>
      </c>
    </row>
    <row r="261" ht="20" customHeight="1">
      <c r="A261" s="7" t="n">
        <v>44433</v>
      </c>
      <c r="B261" s="8" t="inlineStr">
        <is>
          <t>Invoice</t>
        </is>
      </c>
      <c r="C261" s="8" t="inlineStr">
        <is>
          <t>9933</t>
        </is>
      </c>
      <c r="D261" s="9" t="inlineStr"/>
      <c r="E261" s="10" t="n">
        <v>1200.01</v>
      </c>
      <c r="F261" s="10" t="n">
        <v>11237.62</v>
      </c>
    </row>
    <row r="262" ht="20" customHeight="1">
      <c r="A262" s="3" t="n">
        <v>44433</v>
      </c>
      <c r="B262" s="4" t="inlineStr">
        <is>
          <t>Invoice</t>
        </is>
      </c>
      <c r="C262" s="4" t="inlineStr">
        <is>
          <t>9935</t>
        </is>
      </c>
      <c r="D262" s="5" t="inlineStr"/>
      <c r="E262" s="6" t="n">
        <v>1200.01</v>
      </c>
      <c r="F262" s="6" t="n">
        <v>12437.63</v>
      </c>
    </row>
    <row r="263" ht="20" customHeight="1">
      <c r="A263" s="7" t="n">
        <v>44433</v>
      </c>
      <c r="B263" s="8" t="inlineStr">
        <is>
          <t>Invoice</t>
        </is>
      </c>
      <c r="C263" s="8" t="inlineStr">
        <is>
          <t>9937</t>
        </is>
      </c>
      <c r="D263" s="9" t="inlineStr"/>
      <c r="E263" s="10" t="n">
        <v>1600.02</v>
      </c>
      <c r="F263" s="10" t="n">
        <v>14037.65</v>
      </c>
    </row>
    <row r="264" ht="20" customHeight="1">
      <c r="A264" s="3" t="n">
        <v>44433</v>
      </c>
      <c r="B264" s="4" t="inlineStr">
        <is>
          <t>Crd Note</t>
        </is>
      </c>
      <c r="C264" s="4" t="inlineStr">
        <is>
          <t>2280</t>
        </is>
      </c>
      <c r="D264" s="5" t="inlineStr"/>
      <c r="E264" s="6" t="n">
        <v>-1200.01</v>
      </c>
      <c r="F264" s="6" t="n">
        <v>12837.64</v>
      </c>
    </row>
    <row r="265" ht="20" customHeight="1">
      <c r="A265" s="7" t="n">
        <v>44433</v>
      </c>
      <c r="B265" s="8" t="inlineStr">
        <is>
          <t>Crd Note</t>
        </is>
      </c>
      <c r="C265" s="8" t="inlineStr">
        <is>
          <t>2282</t>
        </is>
      </c>
      <c r="D265" s="9" t="inlineStr"/>
      <c r="E265" s="10" t="n">
        <v>-1200.01</v>
      </c>
      <c r="F265" s="10" t="n">
        <v>11637.63</v>
      </c>
    </row>
    <row r="266" ht="20" customHeight="1">
      <c r="A266" s="3" t="n">
        <v>44437</v>
      </c>
      <c r="B266" s="4" t="inlineStr">
        <is>
          <t>Invoice</t>
        </is>
      </c>
      <c r="C266" s="4" t="inlineStr">
        <is>
          <t>9979</t>
        </is>
      </c>
      <c r="D266" s="5" t="inlineStr"/>
      <c r="E266" s="6" t="n">
        <v>1153.2</v>
      </c>
      <c r="F266" s="6" t="n">
        <v>12790.83</v>
      </c>
    </row>
    <row r="267" ht="20" customHeight="1">
      <c r="A267" s="7" t="n">
        <v>44440</v>
      </c>
      <c r="B267" s="8" t="inlineStr">
        <is>
          <t>Opening Balance</t>
        </is>
      </c>
      <c r="C267" s="8" t="inlineStr"/>
      <c r="D267" s="9" t="inlineStr"/>
      <c r="E267" s="10" t="n"/>
      <c r="F267" s="10" t="n">
        <v>12790.83</v>
      </c>
    </row>
    <row r="268" ht="20" customHeight="1">
      <c r="A268" s="3" t="n">
        <v>44440</v>
      </c>
      <c r="B268" s="4" t="inlineStr">
        <is>
          <t>Payment</t>
        </is>
      </c>
      <c r="C268" s="4" t="inlineStr">
        <is>
          <t>00010584</t>
        </is>
      </c>
      <c r="D268" s="5" t="inlineStr"/>
      <c r="E268" s="6" t="n">
        <v>-13012.5</v>
      </c>
      <c r="F268" s="6" t="n">
        <v>-221.67</v>
      </c>
    </row>
    <row r="269" ht="20" customHeight="1">
      <c r="A269" s="7" t="n">
        <v>44441</v>
      </c>
      <c r="B269" s="8" t="inlineStr">
        <is>
          <t>Invoice</t>
        </is>
      </c>
      <c r="C269" s="8" t="inlineStr">
        <is>
          <t>10042</t>
        </is>
      </c>
      <c r="D269" s="9" t="inlineStr"/>
      <c r="E269" s="10" t="n">
        <v>1599.65</v>
      </c>
      <c r="F269" s="10" t="n">
        <v>1377.98</v>
      </c>
    </row>
    <row r="270" ht="20" customHeight="1">
      <c r="A270" s="3" t="n">
        <v>44445</v>
      </c>
      <c r="B270" s="4" t="inlineStr">
        <is>
          <t>Invoice</t>
        </is>
      </c>
      <c r="C270" s="4" t="inlineStr">
        <is>
          <t>10103</t>
        </is>
      </c>
      <c r="D270" s="5" t="inlineStr"/>
      <c r="E270" s="6" t="n">
        <v>1599.65</v>
      </c>
      <c r="F270" s="6" t="n">
        <v>2977.63</v>
      </c>
    </row>
    <row r="271" ht="20" customHeight="1">
      <c r="A271" s="7" t="n">
        <v>44446</v>
      </c>
      <c r="B271" s="8" t="inlineStr">
        <is>
          <t>Crd Note</t>
        </is>
      </c>
      <c r="C271" s="8" t="inlineStr">
        <is>
          <t>2389</t>
        </is>
      </c>
      <c r="D271" s="9" t="inlineStr"/>
      <c r="E271" s="10" t="n">
        <v>-399.91</v>
      </c>
      <c r="F271" s="10" t="n">
        <v>2577.72</v>
      </c>
    </row>
    <row r="272" ht="20" customHeight="1">
      <c r="A272" s="3" t="n">
        <v>44448</v>
      </c>
      <c r="B272" s="4" t="inlineStr">
        <is>
          <t>Invoice</t>
        </is>
      </c>
      <c r="C272" s="4" t="inlineStr">
        <is>
          <t>10149</t>
        </is>
      </c>
      <c r="D272" s="5" t="inlineStr"/>
      <c r="E272" s="6" t="n">
        <v>1599.65</v>
      </c>
      <c r="F272" s="6" t="n">
        <v>4177.37</v>
      </c>
    </row>
    <row r="273" ht="20" customHeight="1">
      <c r="A273" s="7" t="n">
        <v>44454</v>
      </c>
      <c r="B273" s="8" t="inlineStr">
        <is>
          <t>Invoice</t>
        </is>
      </c>
      <c r="C273" s="8" t="inlineStr">
        <is>
          <t>10213</t>
        </is>
      </c>
      <c r="D273" s="9" t="inlineStr"/>
      <c r="E273" s="10" t="n">
        <v>1599.65</v>
      </c>
      <c r="F273" s="10" t="n">
        <v>5777.02</v>
      </c>
    </row>
    <row r="274" ht="20" customHeight="1">
      <c r="A274" s="3" t="n">
        <v>44459</v>
      </c>
      <c r="B274" s="4" t="inlineStr">
        <is>
          <t>Invoice</t>
        </is>
      </c>
      <c r="C274" s="4" t="inlineStr">
        <is>
          <t>10265</t>
        </is>
      </c>
      <c r="D274" s="5" t="inlineStr"/>
      <c r="E274" s="6" t="n">
        <v>1599.65</v>
      </c>
      <c r="F274" s="6" t="n">
        <v>7376.67</v>
      </c>
    </row>
    <row r="275" ht="20" customHeight="1">
      <c r="A275" s="7" t="n">
        <v>44459</v>
      </c>
      <c r="B275" s="8" t="inlineStr">
        <is>
          <t>Invoice</t>
        </is>
      </c>
      <c r="C275" s="8" t="inlineStr">
        <is>
          <t>10268</t>
        </is>
      </c>
      <c r="D275" s="9" t="inlineStr"/>
      <c r="E275" s="10" t="n">
        <v>2062.73</v>
      </c>
      <c r="F275" s="10" t="n">
        <v>9439.4</v>
      </c>
    </row>
    <row r="276" ht="20" customHeight="1">
      <c r="A276" s="3" t="n">
        <v>44459</v>
      </c>
      <c r="B276" s="4" t="inlineStr">
        <is>
          <t>Crd Note</t>
        </is>
      </c>
      <c r="C276" s="4" t="inlineStr">
        <is>
          <t>2473</t>
        </is>
      </c>
      <c r="D276" s="5" t="inlineStr"/>
      <c r="E276" s="6" t="n">
        <v>-1599.65</v>
      </c>
      <c r="F276" s="6" t="n">
        <v>7839.75</v>
      </c>
    </row>
    <row r="277" ht="20" customHeight="1">
      <c r="A277" s="7" t="n">
        <v>44460</v>
      </c>
      <c r="B277" s="8" t="inlineStr">
        <is>
          <t>Invoice</t>
        </is>
      </c>
      <c r="C277" s="8" t="inlineStr">
        <is>
          <t>10299</t>
        </is>
      </c>
      <c r="D277" s="9" t="inlineStr"/>
      <c r="E277" s="10" t="n">
        <v>1999.56</v>
      </c>
      <c r="F277" s="10" t="n">
        <v>9839.309999999999</v>
      </c>
    </row>
    <row r="278" ht="20" customHeight="1">
      <c r="A278" s="3" t="n">
        <v>44465</v>
      </c>
      <c r="B278" s="4" t="inlineStr">
        <is>
          <t>Invoice</t>
        </is>
      </c>
      <c r="C278" s="4" t="inlineStr">
        <is>
          <t>10363</t>
        </is>
      </c>
      <c r="D278" s="5" t="inlineStr"/>
      <c r="E278" s="6" t="n">
        <v>1199.74</v>
      </c>
      <c r="F278" s="6" t="n">
        <v>11039.05</v>
      </c>
    </row>
    <row r="279" ht="20" customHeight="1">
      <c r="A279" s="7" t="n">
        <v>44468</v>
      </c>
      <c r="B279" s="8" t="inlineStr">
        <is>
          <t>Invoice</t>
        </is>
      </c>
      <c r="C279" s="8" t="inlineStr">
        <is>
          <t>10409</t>
        </is>
      </c>
      <c r="D279" s="9" t="inlineStr"/>
      <c r="E279" s="10" t="n">
        <v>1999.56</v>
      </c>
      <c r="F279" s="10" t="n">
        <v>13038.61</v>
      </c>
    </row>
    <row r="280" ht="20" customHeight="1">
      <c r="A280" s="3" t="n">
        <v>44470</v>
      </c>
      <c r="B280" s="4" t="inlineStr">
        <is>
          <t>Opening Balance</t>
        </is>
      </c>
      <c r="C280" s="4" t="inlineStr"/>
      <c r="D280" s="5" t="inlineStr"/>
      <c r="E280" s="6" t="n"/>
      <c r="F280" s="6" t="n">
        <v>13038.61</v>
      </c>
    </row>
    <row r="281" ht="20" customHeight="1">
      <c r="A281" s="7" t="n">
        <v>44475</v>
      </c>
      <c r="B281" s="8" t="inlineStr">
        <is>
          <t>Payment</t>
        </is>
      </c>
      <c r="C281" s="8" t="inlineStr">
        <is>
          <t>00011068</t>
        </is>
      </c>
      <c r="D281" s="9" t="inlineStr"/>
      <c r="E281" s="10" t="n">
        <v>-13260.28</v>
      </c>
      <c r="F281" s="10" t="n">
        <v>-221.67</v>
      </c>
    </row>
    <row r="282" ht="20" customHeight="1">
      <c r="A282" s="3" t="n">
        <v>44475</v>
      </c>
      <c r="B282" s="4" t="inlineStr">
        <is>
          <t>Invoice</t>
        </is>
      </c>
      <c r="C282" s="4" t="inlineStr">
        <is>
          <t>10581</t>
        </is>
      </c>
      <c r="D282" s="5" t="inlineStr"/>
      <c r="E282" s="6" t="n">
        <v>2062.73</v>
      </c>
      <c r="F282" s="6" t="n">
        <v>1841.06</v>
      </c>
    </row>
    <row r="283" ht="20" customHeight="1">
      <c r="A283" s="7" t="n">
        <v>44477</v>
      </c>
      <c r="B283" s="8" t="inlineStr">
        <is>
          <t>Invoice</t>
        </is>
      </c>
      <c r="C283" s="8" t="inlineStr">
        <is>
          <t>10616</t>
        </is>
      </c>
      <c r="D283" s="9" t="inlineStr"/>
      <c r="E283" s="10" t="n">
        <v>1599.65</v>
      </c>
      <c r="F283" s="10" t="n">
        <v>3440.71</v>
      </c>
    </row>
    <row r="284" ht="20" customHeight="1">
      <c r="A284" s="3" t="n">
        <v>44479</v>
      </c>
      <c r="B284" s="4" t="inlineStr">
        <is>
          <t>Crd Note</t>
        </is>
      </c>
      <c r="C284" s="4" t="inlineStr">
        <is>
          <t>2635</t>
        </is>
      </c>
      <c r="D284" s="5" t="inlineStr"/>
      <c r="E284" s="6" t="n">
        <v>-1599.65</v>
      </c>
      <c r="F284" s="6" t="n">
        <v>1841.06</v>
      </c>
    </row>
    <row r="285" ht="20" customHeight="1">
      <c r="A285" s="7" t="n">
        <v>44480</v>
      </c>
      <c r="B285" s="8" t="inlineStr">
        <is>
          <t>Invoice</t>
        </is>
      </c>
      <c r="C285" s="8" t="inlineStr">
        <is>
          <t>10672</t>
        </is>
      </c>
      <c r="D285" s="9" t="inlineStr"/>
      <c r="E285" s="10" t="n">
        <v>2068.91</v>
      </c>
      <c r="F285" s="10" t="n">
        <v>3909.97</v>
      </c>
    </row>
    <row r="286" ht="20" customHeight="1">
      <c r="A286" s="3" t="n">
        <v>44483</v>
      </c>
      <c r="B286" s="4" t="inlineStr">
        <is>
          <t>Invoice</t>
        </is>
      </c>
      <c r="C286" s="4" t="inlineStr">
        <is>
          <t>10704</t>
        </is>
      </c>
      <c r="D286" s="5" t="inlineStr"/>
      <c r="E286" s="6" t="n">
        <v>1599.65</v>
      </c>
      <c r="F286" s="6" t="n">
        <v>5509.62</v>
      </c>
    </row>
    <row r="287" ht="20" customHeight="1">
      <c r="A287" s="7" t="n">
        <v>44486</v>
      </c>
      <c r="B287" s="8" t="inlineStr">
        <is>
          <t>Invoice</t>
        </is>
      </c>
      <c r="C287" s="8" t="inlineStr">
        <is>
          <t>10737</t>
        </is>
      </c>
      <c r="D287" s="9" t="inlineStr"/>
      <c r="E287" s="10" t="n">
        <v>1599.65</v>
      </c>
      <c r="F287" s="10" t="n">
        <v>7109.27</v>
      </c>
    </row>
    <row r="288" ht="20" customHeight="1">
      <c r="A288" s="3" t="n">
        <v>44490</v>
      </c>
      <c r="B288" s="4" t="inlineStr">
        <is>
          <t>Invoice</t>
        </is>
      </c>
      <c r="C288" s="4" t="inlineStr">
        <is>
          <t>10838</t>
        </is>
      </c>
      <c r="D288" s="5" t="inlineStr"/>
      <c r="E288" s="6" t="n">
        <v>1599.65</v>
      </c>
      <c r="F288" s="6" t="n">
        <v>8708.92</v>
      </c>
    </row>
    <row r="289" ht="20" customHeight="1">
      <c r="A289" s="7" t="n">
        <v>44490</v>
      </c>
      <c r="B289" s="8" t="inlineStr">
        <is>
          <t>Invoice</t>
        </is>
      </c>
      <c r="C289" s="8" t="inlineStr">
        <is>
          <t>11230</t>
        </is>
      </c>
      <c r="D289" s="9" t="inlineStr"/>
      <c r="E289" s="10" t="n">
        <v>1599.65</v>
      </c>
      <c r="F289" s="10" t="n">
        <v>10308.57</v>
      </c>
    </row>
    <row r="290" ht="20" customHeight="1">
      <c r="A290" s="3" t="n">
        <v>44490</v>
      </c>
      <c r="B290" s="4" t="inlineStr">
        <is>
          <t>Crd Note</t>
        </is>
      </c>
      <c r="C290" s="4" t="inlineStr">
        <is>
          <t>2713</t>
        </is>
      </c>
      <c r="D290" s="5" t="inlineStr"/>
      <c r="E290" s="6" t="n">
        <v>-1199.74</v>
      </c>
      <c r="F290" s="6" t="n">
        <v>9108.83</v>
      </c>
    </row>
    <row r="291" ht="20" customHeight="1">
      <c r="A291" s="7" t="n">
        <v>44494</v>
      </c>
      <c r="B291" s="8" t="inlineStr">
        <is>
          <t>Invoice</t>
        </is>
      </c>
      <c r="C291" s="8" t="inlineStr">
        <is>
          <t>10901</t>
        </is>
      </c>
      <c r="D291" s="9" t="inlineStr"/>
      <c r="E291" s="10" t="n">
        <v>1999.56</v>
      </c>
      <c r="F291" s="10" t="n">
        <v>11108.39</v>
      </c>
    </row>
    <row r="292" ht="20" customHeight="1">
      <c r="A292" s="3" t="n">
        <v>44497</v>
      </c>
      <c r="B292" s="4" t="inlineStr">
        <is>
          <t>Invoice</t>
        </is>
      </c>
      <c r="C292" s="4" t="inlineStr">
        <is>
          <t>10979</t>
        </is>
      </c>
      <c r="D292" s="5" t="inlineStr"/>
      <c r="E292" s="6" t="n">
        <v>1999.56</v>
      </c>
      <c r="F292" s="6" t="n">
        <v>13107.95</v>
      </c>
    </row>
    <row r="293" ht="20" customHeight="1">
      <c r="A293" s="7" t="n">
        <v>44501</v>
      </c>
      <c r="B293" s="8" t="inlineStr">
        <is>
          <t>Opening Balance</t>
        </is>
      </c>
      <c r="C293" s="8" t="inlineStr"/>
      <c r="D293" s="9" t="inlineStr"/>
      <c r="E293" s="10" t="n"/>
      <c r="F293" s="10" t="n">
        <v>13107.95</v>
      </c>
    </row>
    <row r="294" ht="20" customHeight="1">
      <c r="A294" s="3" t="n">
        <v>44501</v>
      </c>
      <c r="B294" s="4" t="inlineStr">
        <is>
          <t>Invoice</t>
        </is>
      </c>
      <c r="C294" s="4" t="inlineStr">
        <is>
          <t>11039</t>
        </is>
      </c>
      <c r="D294" s="5" t="inlineStr"/>
      <c r="E294" s="6" t="n">
        <v>1999.56</v>
      </c>
      <c r="F294" s="6" t="n">
        <v>15107.51</v>
      </c>
    </row>
    <row r="295" ht="20" customHeight="1">
      <c r="A295" s="7" t="n">
        <v>44503</v>
      </c>
      <c r="B295" s="8" t="inlineStr">
        <is>
          <t>Payment</t>
        </is>
      </c>
      <c r="C295" s="8" t="inlineStr">
        <is>
          <t>00011558</t>
        </is>
      </c>
      <c r="D295" s="9" t="inlineStr"/>
      <c r="E295" s="10" t="n">
        <v>-12929.71</v>
      </c>
      <c r="F295" s="10" t="n">
        <v>2177.8</v>
      </c>
    </row>
    <row r="296" ht="20" customHeight="1">
      <c r="A296" s="3" t="n">
        <v>44504</v>
      </c>
      <c r="B296" s="4" t="inlineStr">
        <is>
          <t>Invoice</t>
        </is>
      </c>
      <c r="C296" s="4" t="inlineStr">
        <is>
          <t>11088</t>
        </is>
      </c>
      <c r="D296" s="5" t="inlineStr"/>
      <c r="E296" s="6" t="n">
        <v>1385.55</v>
      </c>
      <c r="F296" s="6" t="n">
        <v>3563.35</v>
      </c>
    </row>
    <row r="297" ht="20" customHeight="1">
      <c r="A297" s="7" t="n">
        <v>44505</v>
      </c>
      <c r="B297" s="8" t="inlineStr">
        <is>
          <t>Crd Note</t>
        </is>
      </c>
      <c r="C297" s="8" t="inlineStr">
        <is>
          <t>2827</t>
        </is>
      </c>
      <c r="D297" s="9" t="inlineStr"/>
      <c r="E297" s="10" t="n">
        <v>-1385.55</v>
      </c>
      <c r="F297" s="10" t="n">
        <v>2177.8</v>
      </c>
    </row>
    <row r="298" ht="20" customHeight="1">
      <c r="A298" s="3" t="n">
        <v>44509</v>
      </c>
      <c r="B298" s="4" t="inlineStr">
        <is>
          <t>Invoice</t>
        </is>
      </c>
      <c r="C298" s="4" t="inlineStr">
        <is>
          <t>11175</t>
        </is>
      </c>
      <c r="D298" s="5" t="inlineStr"/>
      <c r="E298" s="6" t="n">
        <v>1385.55</v>
      </c>
      <c r="F298" s="6" t="n">
        <v>3563.35</v>
      </c>
    </row>
    <row r="299" ht="20" customHeight="1">
      <c r="A299" s="7" t="n">
        <v>44512</v>
      </c>
      <c r="B299" s="8" t="inlineStr">
        <is>
          <t>Invoice</t>
        </is>
      </c>
      <c r="C299" s="8" t="inlineStr">
        <is>
          <t>11218</t>
        </is>
      </c>
      <c r="D299" s="9" t="inlineStr"/>
      <c r="E299" s="10" t="n">
        <v>1847.41</v>
      </c>
      <c r="F299" s="10" t="n">
        <v>5410.76</v>
      </c>
    </row>
    <row r="300" ht="20" customHeight="1">
      <c r="A300" s="3" t="n">
        <v>44514</v>
      </c>
      <c r="B300" s="4" t="inlineStr">
        <is>
          <t>Crd Note</t>
        </is>
      </c>
      <c r="C300" s="4" t="inlineStr">
        <is>
          <t>2892</t>
        </is>
      </c>
      <c r="D300" s="5" t="inlineStr"/>
      <c r="E300" s="6" t="n">
        <v>-399.91</v>
      </c>
      <c r="F300" s="6" t="n">
        <v>5010.85</v>
      </c>
    </row>
    <row r="301" ht="20" customHeight="1">
      <c r="A301" s="7" t="n">
        <v>44517</v>
      </c>
      <c r="B301" s="8" t="inlineStr">
        <is>
          <t>Invoice</t>
        </is>
      </c>
      <c r="C301" s="8" t="inlineStr">
        <is>
          <t>11278</t>
        </is>
      </c>
      <c r="D301" s="9" t="inlineStr"/>
      <c r="E301" s="10" t="n">
        <v>2309.26</v>
      </c>
      <c r="F301" s="10" t="n">
        <v>7320.11</v>
      </c>
    </row>
    <row r="302" ht="20" customHeight="1">
      <c r="A302" s="3" t="n">
        <v>44521</v>
      </c>
      <c r="B302" s="4" t="inlineStr">
        <is>
          <t>Invoice</t>
        </is>
      </c>
      <c r="C302" s="4" t="inlineStr">
        <is>
          <t>11332</t>
        </is>
      </c>
      <c r="D302" s="5" t="inlineStr"/>
      <c r="E302" s="6" t="n">
        <v>2309.26</v>
      </c>
      <c r="F302" s="6" t="n">
        <v>9629.370000000001</v>
      </c>
    </row>
    <row r="303" ht="20" customHeight="1">
      <c r="A303" s="7" t="n">
        <v>44525</v>
      </c>
      <c r="B303" s="8" t="inlineStr">
        <is>
          <t>Invoice</t>
        </is>
      </c>
      <c r="C303" s="8" t="inlineStr">
        <is>
          <t>11442</t>
        </is>
      </c>
      <c r="D303" s="9" t="inlineStr"/>
      <c r="E303" s="10" t="n">
        <v>2309.26</v>
      </c>
      <c r="F303" s="10" t="n">
        <v>11938.63</v>
      </c>
    </row>
    <row r="304" ht="20" customHeight="1">
      <c r="A304" s="3" t="n">
        <v>44529</v>
      </c>
      <c r="B304" s="4" t="inlineStr">
        <is>
          <t>Invoice</t>
        </is>
      </c>
      <c r="C304" s="4" t="inlineStr">
        <is>
          <t>11497</t>
        </is>
      </c>
      <c r="D304" s="5" t="inlineStr"/>
      <c r="E304" s="6" t="n">
        <v>4618.52</v>
      </c>
      <c r="F304" s="6" t="n">
        <v>16557.15</v>
      </c>
    </row>
    <row r="305" ht="20" customHeight="1">
      <c r="A305" s="7" t="n">
        <v>44531</v>
      </c>
      <c r="B305" s="8" t="inlineStr">
        <is>
          <t>Opening Balance</t>
        </is>
      </c>
      <c r="C305" s="8" t="inlineStr"/>
      <c r="D305" s="9" t="inlineStr"/>
      <c r="E305" s="10" t="n"/>
      <c r="F305" s="10" t="n">
        <v>16557.15</v>
      </c>
    </row>
    <row r="306" ht="20" customHeight="1">
      <c r="A306" s="3" t="n">
        <v>44540</v>
      </c>
      <c r="B306" s="4" t="inlineStr">
        <is>
          <t>Invoice</t>
        </is>
      </c>
      <c r="C306" s="4" t="inlineStr">
        <is>
          <t>11643</t>
        </is>
      </c>
      <c r="D306" s="5" t="inlineStr"/>
      <c r="E306" s="6" t="n">
        <v>2332.26</v>
      </c>
      <c r="F306" s="6" t="n">
        <v>18889.41</v>
      </c>
    </row>
    <row r="307" ht="20" customHeight="1">
      <c r="A307" s="7" t="n">
        <v>44544</v>
      </c>
      <c r="B307" s="8" t="inlineStr">
        <is>
          <t>Invoice</t>
        </is>
      </c>
      <c r="C307" s="8" t="inlineStr">
        <is>
          <t>11686</t>
        </is>
      </c>
      <c r="D307" s="9" t="inlineStr"/>
      <c r="E307" s="10" t="n">
        <v>2332.26</v>
      </c>
      <c r="F307" s="10" t="n">
        <v>21221.67</v>
      </c>
    </row>
    <row r="308" ht="20" customHeight="1">
      <c r="A308" s="3" t="n">
        <v>44549</v>
      </c>
      <c r="B308" s="4" t="inlineStr">
        <is>
          <t>Payment</t>
        </is>
      </c>
      <c r="C308" s="4" t="inlineStr">
        <is>
          <t>00012146</t>
        </is>
      </c>
      <c r="D308" s="5" t="inlineStr"/>
      <c r="E308" s="6" t="n">
        <v>-12160.3</v>
      </c>
      <c r="F308" s="6" t="n">
        <v>9061.370000000001</v>
      </c>
    </row>
    <row r="309" ht="20" customHeight="1">
      <c r="A309" s="7" t="n">
        <v>44551</v>
      </c>
      <c r="B309" s="8" t="inlineStr">
        <is>
          <t>Invoice</t>
        </is>
      </c>
      <c r="C309" s="8" t="inlineStr">
        <is>
          <t>11774</t>
        </is>
      </c>
      <c r="D309" s="9" t="inlineStr"/>
      <c r="E309" s="10" t="n">
        <v>1414.74</v>
      </c>
      <c r="F309" s="10" t="n">
        <v>10476.11</v>
      </c>
    </row>
    <row r="310" ht="20" customHeight="1">
      <c r="A310" s="3" t="n">
        <v>44552</v>
      </c>
      <c r="B310" s="4" t="inlineStr">
        <is>
          <t>Invoice</t>
        </is>
      </c>
      <c r="C310" s="4" t="inlineStr">
        <is>
          <t>11780</t>
        </is>
      </c>
      <c r="D310" s="5" t="inlineStr"/>
      <c r="E310" s="6" t="n">
        <v>2357.9</v>
      </c>
      <c r="F310" s="6" t="n">
        <v>12834.01</v>
      </c>
    </row>
    <row r="311" ht="20" customHeight="1">
      <c r="A311" s="7" t="n">
        <v>44557</v>
      </c>
      <c r="B311" s="8" t="inlineStr">
        <is>
          <t>Invoice</t>
        </is>
      </c>
      <c r="C311" s="8" t="inlineStr">
        <is>
          <t>11818</t>
        </is>
      </c>
      <c r="D311" s="9" t="inlineStr"/>
      <c r="E311" s="10" t="n">
        <v>2476.64</v>
      </c>
      <c r="F311" s="10" t="n">
        <v>15310.65</v>
      </c>
    </row>
    <row r="312" ht="20" customHeight="1">
      <c r="A312" s="3" t="n">
        <v>44557</v>
      </c>
      <c r="B312" s="4" t="inlineStr">
        <is>
          <t>Invoice</t>
        </is>
      </c>
      <c r="C312" s="4" t="inlineStr">
        <is>
          <t>11819</t>
        </is>
      </c>
      <c r="D312" s="5" t="inlineStr"/>
      <c r="E312" s="6" t="n">
        <v>1485.98</v>
      </c>
      <c r="F312" s="6" t="n">
        <v>16796.63</v>
      </c>
    </row>
    <row r="313" ht="20" customHeight="1">
      <c r="A313" s="7" t="n">
        <v>44562</v>
      </c>
      <c r="B313" s="8" t="inlineStr">
        <is>
          <t>Opening Balance</t>
        </is>
      </c>
      <c r="C313" s="8" t="inlineStr"/>
      <c r="D313" s="9" t="inlineStr"/>
      <c r="E313" s="10" t="n"/>
      <c r="F313" s="10" t="n">
        <v>16796.63</v>
      </c>
    </row>
    <row r="314" ht="20" customHeight="1">
      <c r="A314" s="3" t="n">
        <v>44563</v>
      </c>
      <c r="B314" s="4" t="inlineStr">
        <is>
          <t>Invoice</t>
        </is>
      </c>
      <c r="C314" s="4" t="inlineStr">
        <is>
          <t>11859</t>
        </is>
      </c>
      <c r="D314" s="5" t="inlineStr"/>
      <c r="E314" s="6" t="n">
        <v>2476.58</v>
      </c>
      <c r="F314" s="6" t="n">
        <v>19273.21</v>
      </c>
    </row>
    <row r="315" ht="20" customHeight="1">
      <c r="A315" s="7" t="n">
        <v>44571</v>
      </c>
      <c r="B315" s="8" t="inlineStr">
        <is>
          <t>Invoice</t>
        </is>
      </c>
      <c r="C315" s="8" t="inlineStr">
        <is>
          <t>11938</t>
        </is>
      </c>
      <c r="D315" s="9" t="inlineStr"/>
      <c r="E315" s="10" t="n">
        <v>1924</v>
      </c>
      <c r="F315" s="10" t="n">
        <v>21197.21</v>
      </c>
    </row>
    <row r="316" ht="20" customHeight="1">
      <c r="A316" s="3" t="n">
        <v>44574</v>
      </c>
      <c r="B316" s="4" t="inlineStr">
        <is>
          <t>Invoice</t>
        </is>
      </c>
      <c r="C316" s="4" t="inlineStr">
        <is>
          <t>11970</t>
        </is>
      </c>
      <c r="D316" s="5" t="inlineStr"/>
      <c r="E316" s="6" t="n">
        <v>1924</v>
      </c>
      <c r="F316" s="6" t="n">
        <v>23121.21</v>
      </c>
    </row>
    <row r="317" ht="20" customHeight="1">
      <c r="A317" s="7" t="n">
        <v>44577</v>
      </c>
      <c r="B317" s="8" t="inlineStr">
        <is>
          <t>Invoice</t>
        </is>
      </c>
      <c r="C317" s="8" t="inlineStr">
        <is>
          <t>11995</t>
        </is>
      </c>
      <c r="D317" s="9" t="inlineStr"/>
      <c r="E317" s="10" t="n">
        <v>1443</v>
      </c>
      <c r="F317" s="10" t="n">
        <v>24564.21</v>
      </c>
    </row>
    <row r="318" ht="20" customHeight="1">
      <c r="A318" s="3" t="n">
        <v>44580</v>
      </c>
      <c r="B318" s="4" t="inlineStr">
        <is>
          <t>Invoice</t>
        </is>
      </c>
      <c r="C318" s="4" t="inlineStr">
        <is>
          <t>12042</t>
        </is>
      </c>
      <c r="D318" s="5" t="inlineStr"/>
      <c r="E318" s="6" t="n">
        <v>2405</v>
      </c>
      <c r="F318" s="6" t="n">
        <v>26969.21</v>
      </c>
    </row>
    <row r="319" ht="20" customHeight="1">
      <c r="A319" s="7" t="n">
        <v>44586</v>
      </c>
      <c r="B319" s="8" t="inlineStr">
        <is>
          <t>Invoice</t>
        </is>
      </c>
      <c r="C319" s="8" t="inlineStr">
        <is>
          <t>12073</t>
        </is>
      </c>
      <c r="D319" s="9" t="inlineStr"/>
      <c r="E319" s="10" t="n">
        <v>2405</v>
      </c>
      <c r="F319" s="10" t="n">
        <v>29374.21</v>
      </c>
    </row>
    <row r="320" ht="20" customHeight="1">
      <c r="A320" s="3" t="n">
        <v>44588</v>
      </c>
      <c r="B320" s="4" t="inlineStr">
        <is>
          <t>Invoice</t>
        </is>
      </c>
      <c r="C320" s="4" t="inlineStr">
        <is>
          <t>12088</t>
        </is>
      </c>
      <c r="D320" s="5" t="inlineStr"/>
      <c r="E320" s="6" t="n">
        <v>2405</v>
      </c>
      <c r="F320" s="6" t="n">
        <v>31779.21</v>
      </c>
    </row>
    <row r="321" ht="20" customHeight="1">
      <c r="A321" s="7" t="n">
        <v>44591</v>
      </c>
      <c r="B321" s="8" t="inlineStr">
        <is>
          <t>Payment</t>
        </is>
      </c>
      <c r="C321" s="8" t="inlineStr">
        <is>
          <t>00012719</t>
        </is>
      </c>
      <c r="D321" s="9" t="inlineStr"/>
      <c r="E321" s="10" t="n">
        <v>-17018.3</v>
      </c>
      <c r="F321" s="10" t="n">
        <v>14760.91</v>
      </c>
    </row>
    <row r="322" ht="20" customHeight="1">
      <c r="A322" s="3" t="n">
        <v>44592</v>
      </c>
      <c r="B322" s="4" t="inlineStr">
        <is>
          <t>Invoice</t>
        </is>
      </c>
      <c r="C322" s="4" t="inlineStr">
        <is>
          <t>12120</t>
        </is>
      </c>
      <c r="D322" s="5" t="inlineStr"/>
      <c r="E322" s="6" t="n">
        <v>1443</v>
      </c>
      <c r="F322" s="6" t="n">
        <v>16203.91</v>
      </c>
    </row>
    <row r="323" ht="20" customHeight="1">
      <c r="A323" s="7" t="n">
        <v>44593</v>
      </c>
      <c r="B323" s="8" t="inlineStr">
        <is>
          <t>Opening Balance</t>
        </is>
      </c>
      <c r="C323" s="8" t="inlineStr"/>
      <c r="D323" s="9" t="inlineStr"/>
      <c r="E323" s="10" t="n"/>
      <c r="F323" s="10" t="n">
        <v>16203.91</v>
      </c>
    </row>
    <row r="324" ht="20" customHeight="1">
      <c r="A324" s="3" t="n">
        <v>44595</v>
      </c>
      <c r="B324" s="4" t="inlineStr">
        <is>
          <t>Invoice</t>
        </is>
      </c>
      <c r="C324" s="4" t="inlineStr">
        <is>
          <t>12163</t>
        </is>
      </c>
      <c r="D324" s="5" t="inlineStr"/>
      <c r="E324" s="6" t="n">
        <v>1924</v>
      </c>
      <c r="F324" s="6" t="n">
        <v>18127.91</v>
      </c>
    </row>
    <row r="325" ht="20" customHeight="1">
      <c r="A325" s="7" t="n">
        <v>44601</v>
      </c>
      <c r="B325" s="8" t="inlineStr">
        <is>
          <t>Invoice</t>
        </is>
      </c>
      <c r="C325" s="8" t="inlineStr">
        <is>
          <t>12228</t>
        </is>
      </c>
      <c r="D325" s="9" t="inlineStr"/>
      <c r="E325" s="10" t="n">
        <v>1924</v>
      </c>
      <c r="F325" s="10" t="n">
        <v>20051.91</v>
      </c>
    </row>
    <row r="326" ht="20" customHeight="1">
      <c r="A326" s="3" t="n">
        <v>44606</v>
      </c>
      <c r="B326" s="4" t="inlineStr">
        <is>
          <t>Invoice</t>
        </is>
      </c>
      <c r="C326" s="4" t="inlineStr">
        <is>
          <t>12285</t>
        </is>
      </c>
      <c r="D326" s="5" t="inlineStr"/>
      <c r="E326" s="6" t="n">
        <v>2405</v>
      </c>
      <c r="F326" s="6" t="n">
        <v>22456.91</v>
      </c>
    </row>
    <row r="327" ht="20" customHeight="1">
      <c r="A327" s="7" t="n">
        <v>44608</v>
      </c>
      <c r="B327" s="8" t="inlineStr">
        <is>
          <t>Invoice</t>
        </is>
      </c>
      <c r="C327" s="8" t="inlineStr">
        <is>
          <t>12312</t>
        </is>
      </c>
      <c r="D327" s="9" t="inlineStr"/>
      <c r="E327" s="10" t="n">
        <v>1443</v>
      </c>
      <c r="F327" s="10" t="n">
        <v>23899.91</v>
      </c>
    </row>
    <row r="328" ht="20" customHeight="1">
      <c r="A328" s="3" t="n">
        <v>44612</v>
      </c>
      <c r="B328" s="4" t="inlineStr">
        <is>
          <t>Invoice</t>
        </is>
      </c>
      <c r="C328" s="4" t="inlineStr">
        <is>
          <t>12340</t>
        </is>
      </c>
      <c r="D328" s="5" t="inlineStr"/>
      <c r="E328" s="6" t="n">
        <v>1924</v>
      </c>
      <c r="F328" s="6" t="n">
        <v>25823.91</v>
      </c>
    </row>
    <row r="329" ht="20" customHeight="1">
      <c r="A329" s="7" t="n">
        <v>44616</v>
      </c>
      <c r="B329" s="8" t="inlineStr">
        <is>
          <t>Invoice</t>
        </is>
      </c>
      <c r="C329" s="8" t="inlineStr">
        <is>
          <t>12387</t>
        </is>
      </c>
      <c r="D329" s="9" t="inlineStr"/>
      <c r="E329" s="10" t="n">
        <v>1443</v>
      </c>
      <c r="F329" s="10" t="n">
        <v>27266.91</v>
      </c>
    </row>
    <row r="330" ht="20" customHeight="1">
      <c r="A330" s="3" t="n">
        <v>44619</v>
      </c>
      <c r="B330" s="4" t="inlineStr">
        <is>
          <t>Invoice</t>
        </is>
      </c>
      <c r="C330" s="4" t="inlineStr">
        <is>
          <t>12403</t>
        </is>
      </c>
      <c r="D330" s="5" t="inlineStr"/>
      <c r="E330" s="6" t="n">
        <v>1443</v>
      </c>
      <c r="F330" s="6" t="n">
        <v>28709.91</v>
      </c>
    </row>
    <row r="331" ht="20" customHeight="1">
      <c r="A331" s="7" t="n">
        <v>44621</v>
      </c>
      <c r="B331" s="8" t="inlineStr">
        <is>
          <t>Opening Balance</t>
        </is>
      </c>
      <c r="C331" s="8" t="inlineStr"/>
      <c r="D331" s="9" t="inlineStr"/>
      <c r="E331" s="10" t="n"/>
      <c r="F331" s="10" t="n">
        <v>28709.91</v>
      </c>
    </row>
    <row r="332" ht="20" customHeight="1">
      <c r="A332" s="3" t="n">
        <v>44623</v>
      </c>
      <c r="B332" s="4" t="inlineStr">
        <is>
          <t>Invoice</t>
        </is>
      </c>
      <c r="C332" s="4" t="inlineStr">
        <is>
          <t>12460</t>
        </is>
      </c>
      <c r="D332" s="5" t="inlineStr"/>
      <c r="E332" s="6" t="n">
        <v>1924</v>
      </c>
      <c r="F332" s="6" t="n">
        <v>30633.91</v>
      </c>
    </row>
    <row r="333" ht="20" customHeight="1">
      <c r="A333" s="7" t="n">
        <v>44627</v>
      </c>
      <c r="B333" s="8" t="inlineStr">
        <is>
          <t>Invoice</t>
        </is>
      </c>
      <c r="C333" s="8" t="inlineStr">
        <is>
          <t>12501</t>
        </is>
      </c>
      <c r="D333" s="9" t="inlineStr"/>
      <c r="E333" s="10" t="n">
        <v>1473.01</v>
      </c>
      <c r="F333" s="10" t="n">
        <v>32106.92</v>
      </c>
    </row>
    <row r="334" ht="20" customHeight="1">
      <c r="A334" s="3" t="n">
        <v>44629</v>
      </c>
      <c r="B334" s="4" t="inlineStr">
        <is>
          <t>Invoice</t>
        </is>
      </c>
      <c r="C334" s="4" t="inlineStr">
        <is>
          <t>12523</t>
        </is>
      </c>
      <c r="D334" s="5" t="inlineStr"/>
      <c r="E334" s="6" t="n">
        <v>2008.08</v>
      </c>
      <c r="F334" s="6" t="n">
        <v>34115</v>
      </c>
    </row>
    <row r="335" ht="20" customHeight="1">
      <c r="A335" s="7" t="n">
        <v>44633</v>
      </c>
      <c r="B335" s="8" t="inlineStr">
        <is>
          <t>Invoice</t>
        </is>
      </c>
      <c r="C335" s="8" t="inlineStr">
        <is>
          <t>12561</t>
        </is>
      </c>
      <c r="D335" s="9" t="inlineStr"/>
      <c r="E335" s="10" t="n">
        <v>1506.06</v>
      </c>
      <c r="F335" s="10" t="n">
        <v>35621.06</v>
      </c>
    </row>
    <row r="336" ht="20" customHeight="1">
      <c r="A336" s="3" t="n">
        <v>44636</v>
      </c>
      <c r="B336" s="4" t="inlineStr">
        <is>
          <t>Payment</t>
        </is>
      </c>
      <c r="C336" s="4" t="inlineStr">
        <is>
          <t>00013245</t>
        </is>
      </c>
      <c r="D336" s="5" t="inlineStr"/>
      <c r="E336" s="6" t="n">
        <v>-14982.58</v>
      </c>
      <c r="F336" s="6" t="n">
        <v>20638.48</v>
      </c>
    </row>
    <row r="337" ht="20" customHeight="1">
      <c r="A337" s="7" t="n">
        <v>44636</v>
      </c>
      <c r="B337" s="8" t="inlineStr">
        <is>
          <t>Invoice</t>
        </is>
      </c>
      <c r="C337" s="8" t="inlineStr">
        <is>
          <t>12621</t>
        </is>
      </c>
      <c r="D337" s="9" t="inlineStr"/>
      <c r="E337" s="10" t="n">
        <v>1506.06</v>
      </c>
      <c r="F337" s="10" t="n">
        <v>22144.54</v>
      </c>
    </row>
    <row r="338" ht="20" customHeight="1">
      <c r="A338" s="3" t="n">
        <v>44641</v>
      </c>
      <c r="B338" s="4" t="inlineStr">
        <is>
          <t>Invoice</t>
        </is>
      </c>
      <c r="C338" s="4" t="inlineStr">
        <is>
          <t>12638</t>
        </is>
      </c>
      <c r="D338" s="5" t="inlineStr"/>
      <c r="E338" s="6" t="n">
        <v>2510.11</v>
      </c>
      <c r="F338" s="6" t="n">
        <v>24654.65</v>
      </c>
    </row>
    <row r="339" ht="20" customHeight="1">
      <c r="A339" s="7" t="n">
        <v>44643</v>
      </c>
      <c r="B339" s="8" t="inlineStr">
        <is>
          <t>Invoice</t>
        </is>
      </c>
      <c r="C339" s="8" t="inlineStr">
        <is>
          <t>12676</t>
        </is>
      </c>
      <c r="D339" s="9" t="inlineStr"/>
      <c r="E339" s="10" t="n">
        <v>2008.08</v>
      </c>
      <c r="F339" s="10" t="n">
        <v>26662.73</v>
      </c>
    </row>
    <row r="340" ht="20" customHeight="1">
      <c r="A340" s="3" t="n">
        <v>44647</v>
      </c>
      <c r="B340" s="4" t="inlineStr">
        <is>
          <t>Invoice</t>
        </is>
      </c>
      <c r="C340" s="4" t="inlineStr">
        <is>
          <t>12718</t>
        </is>
      </c>
      <c r="D340" s="5" t="inlineStr"/>
      <c r="E340" s="6" t="n">
        <v>2008.08</v>
      </c>
      <c r="F340" s="6" t="n">
        <v>28670.81</v>
      </c>
    </row>
    <row r="341" ht="20" customHeight="1">
      <c r="A341" s="7" t="n">
        <v>44651</v>
      </c>
      <c r="B341" s="8" t="inlineStr">
        <is>
          <t>Invoice</t>
        </is>
      </c>
      <c r="C341" s="8" t="inlineStr">
        <is>
          <t>12761</t>
        </is>
      </c>
      <c r="D341" s="9" t="inlineStr"/>
      <c r="E341" s="10" t="n">
        <v>2008.08</v>
      </c>
      <c r="F341" s="10" t="n">
        <v>30678.89</v>
      </c>
    </row>
    <row r="342" ht="20" customHeight="1">
      <c r="A342" s="3" t="n">
        <v>44652</v>
      </c>
      <c r="B342" s="4" t="inlineStr">
        <is>
          <t>Opening Balance</t>
        </is>
      </c>
      <c r="C342" s="4" t="inlineStr"/>
      <c r="D342" s="5" t="inlineStr"/>
      <c r="E342" s="6" t="n"/>
      <c r="F342" s="6" t="n">
        <v>30678.89</v>
      </c>
    </row>
    <row r="343" ht="20" customHeight="1">
      <c r="A343" s="7" t="n">
        <v>44654</v>
      </c>
      <c r="B343" s="8" t="inlineStr">
        <is>
          <t>Invoice</t>
        </is>
      </c>
      <c r="C343" s="8" t="inlineStr">
        <is>
          <t>12792</t>
        </is>
      </c>
      <c r="D343" s="9" t="inlineStr"/>
      <c r="E343" s="10" t="n">
        <v>1506.06</v>
      </c>
      <c r="F343" s="10" t="n">
        <v>32184.95</v>
      </c>
    </row>
    <row r="344" ht="20" customHeight="1">
      <c r="A344" s="3" t="n">
        <v>44657</v>
      </c>
      <c r="B344" s="4" t="inlineStr">
        <is>
          <t>Invoice</t>
        </is>
      </c>
      <c r="C344" s="4" t="inlineStr">
        <is>
          <t>12843</t>
        </is>
      </c>
      <c r="D344" s="5" t="inlineStr"/>
      <c r="E344" s="6" t="n">
        <v>2173.73</v>
      </c>
      <c r="F344" s="6" t="n">
        <v>34358.68</v>
      </c>
    </row>
    <row r="345" ht="20" customHeight="1">
      <c r="A345" s="7" t="n">
        <v>44662</v>
      </c>
      <c r="B345" s="8" t="inlineStr">
        <is>
          <t>Payment</t>
        </is>
      </c>
      <c r="C345" s="8" t="inlineStr">
        <is>
          <t>00013583</t>
        </is>
      </c>
      <c r="D345" s="9" t="inlineStr"/>
      <c r="E345" s="10" t="n">
        <v>-13949</v>
      </c>
      <c r="F345" s="10" t="n">
        <v>20409.68</v>
      </c>
    </row>
    <row r="346" ht="20" customHeight="1">
      <c r="A346" s="3" t="n">
        <v>44662</v>
      </c>
      <c r="B346" s="4" t="inlineStr">
        <is>
          <t>Invoice</t>
        </is>
      </c>
      <c r="C346" s="4" t="inlineStr">
        <is>
          <t>12911</t>
        </is>
      </c>
      <c r="D346" s="5" t="inlineStr"/>
      <c r="E346" s="6" t="n">
        <v>2714.98</v>
      </c>
      <c r="F346" s="6" t="n">
        <v>23124.66</v>
      </c>
    </row>
    <row r="347" ht="20" customHeight="1">
      <c r="A347" s="7" t="n">
        <v>44663</v>
      </c>
      <c r="B347" s="8" t="inlineStr">
        <is>
          <t>Invoice</t>
        </is>
      </c>
      <c r="C347" s="8" t="inlineStr">
        <is>
          <t>12946</t>
        </is>
      </c>
      <c r="D347" s="9" t="inlineStr"/>
      <c r="E347" s="10" t="n">
        <v>1630.3</v>
      </c>
      <c r="F347" s="10" t="n">
        <v>24754.96</v>
      </c>
    </row>
    <row r="348" ht="20" customHeight="1">
      <c r="A348" s="3" t="n">
        <v>44669</v>
      </c>
      <c r="B348" s="4" t="inlineStr">
        <is>
          <t>Invoice</t>
        </is>
      </c>
      <c r="C348" s="4" t="inlineStr">
        <is>
          <t>13011</t>
        </is>
      </c>
      <c r="D348" s="5" t="inlineStr"/>
      <c r="E348" s="6" t="n">
        <v>1630.3</v>
      </c>
      <c r="F348" s="6" t="n">
        <v>26385.26</v>
      </c>
    </row>
    <row r="349" ht="20" customHeight="1">
      <c r="A349" s="7" t="n">
        <v>44671</v>
      </c>
      <c r="B349" s="8" t="inlineStr">
        <is>
          <t>Invoice</t>
        </is>
      </c>
      <c r="C349" s="8" t="inlineStr">
        <is>
          <t>13061</t>
        </is>
      </c>
      <c r="D349" s="9" t="inlineStr"/>
      <c r="E349" s="10" t="n">
        <v>2717.16</v>
      </c>
      <c r="F349" s="10" t="n">
        <v>29102.42</v>
      </c>
    </row>
    <row r="350" ht="20" customHeight="1">
      <c r="A350" s="3" t="n">
        <v>44678</v>
      </c>
      <c r="B350" s="4" t="inlineStr">
        <is>
          <t>Invoice</t>
        </is>
      </c>
      <c r="C350" s="4" t="inlineStr">
        <is>
          <t>13158</t>
        </is>
      </c>
      <c r="D350" s="5" t="inlineStr"/>
      <c r="E350" s="6" t="n">
        <v>3804.03</v>
      </c>
      <c r="F350" s="6" t="n">
        <v>32906.45</v>
      </c>
    </row>
    <row r="351" ht="20" customHeight="1">
      <c r="A351" s="7" t="n">
        <v>44682</v>
      </c>
      <c r="B351" s="8" t="inlineStr">
        <is>
          <t>Opening Balance</t>
        </is>
      </c>
      <c r="C351" s="8" t="inlineStr"/>
      <c r="D351" s="9" t="inlineStr"/>
      <c r="E351" s="10" t="n"/>
      <c r="F351" s="10" t="n">
        <v>32906.45</v>
      </c>
    </row>
    <row r="352" ht="20" customHeight="1">
      <c r="A352" s="3" t="n">
        <v>44684</v>
      </c>
      <c r="B352" s="4" t="inlineStr">
        <is>
          <t>Invoice</t>
        </is>
      </c>
      <c r="C352" s="4" t="inlineStr">
        <is>
          <t>13255</t>
        </is>
      </c>
      <c r="D352" s="5" t="inlineStr"/>
      <c r="E352" s="6" t="n">
        <v>2229.21</v>
      </c>
      <c r="F352" s="6" t="n">
        <v>35135.66</v>
      </c>
    </row>
    <row r="353" ht="20" customHeight="1">
      <c r="A353" s="7" t="n">
        <v>44687</v>
      </c>
      <c r="B353" s="8" t="inlineStr">
        <is>
          <t>Invoice</t>
        </is>
      </c>
      <c r="C353" s="8" t="inlineStr">
        <is>
          <t>13332</t>
        </is>
      </c>
      <c r="D353" s="9" t="inlineStr"/>
      <c r="E353" s="10" t="n">
        <v>1671.9</v>
      </c>
      <c r="F353" s="10" t="n">
        <v>36807.56</v>
      </c>
    </row>
    <row r="354" ht="20" customHeight="1">
      <c r="A354" s="3" t="n">
        <v>44689</v>
      </c>
      <c r="B354" s="4" t="inlineStr">
        <is>
          <t>Invoice</t>
        </is>
      </c>
      <c r="C354" s="4" t="inlineStr">
        <is>
          <t>13359</t>
        </is>
      </c>
      <c r="D354" s="5" t="inlineStr"/>
      <c r="E354" s="6" t="n">
        <v>1671.9</v>
      </c>
      <c r="F354" s="6" t="n">
        <v>38479.46</v>
      </c>
    </row>
    <row r="355" ht="20" customHeight="1">
      <c r="A355" s="7" t="n">
        <v>44692</v>
      </c>
      <c r="B355" s="8" t="inlineStr">
        <is>
          <t>Invoice</t>
        </is>
      </c>
      <c r="C355" s="8" t="inlineStr">
        <is>
          <t>13452</t>
        </is>
      </c>
      <c r="D355" s="9" t="inlineStr"/>
      <c r="E355" s="10" t="n">
        <v>2229.21</v>
      </c>
      <c r="F355" s="10" t="n">
        <v>40708.67</v>
      </c>
    </row>
    <row r="356" ht="20" customHeight="1">
      <c r="A356" s="3" t="n">
        <v>44697</v>
      </c>
      <c r="B356" s="4" t="inlineStr">
        <is>
          <t>Invoice</t>
        </is>
      </c>
      <c r="C356" s="4" t="inlineStr">
        <is>
          <t>13518</t>
        </is>
      </c>
      <c r="D356" s="5" t="inlineStr"/>
      <c r="E356" s="6" t="n">
        <v>2229.07</v>
      </c>
      <c r="F356" s="6" t="n">
        <v>42937.74</v>
      </c>
    </row>
    <row r="357" ht="20" customHeight="1">
      <c r="A357" s="7" t="n">
        <v>44699</v>
      </c>
      <c r="B357" s="8" t="inlineStr">
        <is>
          <t>Invoice</t>
        </is>
      </c>
      <c r="C357" s="8" t="inlineStr">
        <is>
          <t>13563</t>
        </is>
      </c>
      <c r="D357" s="9" t="inlineStr"/>
      <c r="E357" s="10" t="n">
        <v>2229.07</v>
      </c>
      <c r="F357" s="10" t="n">
        <v>45166.81</v>
      </c>
    </row>
    <row r="358" ht="20" customHeight="1">
      <c r="A358" s="3" t="n">
        <v>44703</v>
      </c>
      <c r="B358" s="4" t="inlineStr">
        <is>
          <t>Invoice</t>
        </is>
      </c>
      <c r="C358" s="4" t="inlineStr">
        <is>
          <t>13637</t>
        </is>
      </c>
      <c r="D358" s="5" t="inlineStr"/>
      <c r="E358" s="6" t="n">
        <v>1671.8</v>
      </c>
      <c r="F358" s="6" t="n">
        <v>46838.61</v>
      </c>
    </row>
    <row r="359" ht="20" customHeight="1">
      <c r="A359" s="7" t="n">
        <v>44707</v>
      </c>
      <c r="B359" s="8" t="inlineStr">
        <is>
          <t>Invoice</t>
        </is>
      </c>
      <c r="C359" s="8" t="inlineStr">
        <is>
          <t>13685</t>
        </is>
      </c>
      <c r="D359" s="9" t="inlineStr"/>
      <c r="E359" s="10" t="n">
        <v>2229.07</v>
      </c>
      <c r="F359" s="10" t="n">
        <v>49067.68</v>
      </c>
    </row>
    <row r="360" ht="20" customHeight="1">
      <c r="A360" s="3" t="n">
        <v>44711</v>
      </c>
      <c r="B360" s="4" t="inlineStr">
        <is>
          <t>Invoice</t>
        </is>
      </c>
      <c r="C360" s="4" t="inlineStr">
        <is>
          <t>13744</t>
        </is>
      </c>
      <c r="D360" s="5" t="inlineStr"/>
      <c r="E360" s="6" t="n">
        <v>2786.34</v>
      </c>
      <c r="F360" s="6" t="n">
        <v>51854.02</v>
      </c>
    </row>
    <row r="361" ht="20" customHeight="1">
      <c r="A361" s="7" t="n">
        <v>44712</v>
      </c>
      <c r="B361" s="8" t="inlineStr">
        <is>
          <t>Payment</t>
        </is>
      </c>
      <c r="C361" s="8" t="inlineStr">
        <is>
          <t>00014135</t>
        </is>
      </c>
      <c r="D361" s="9" t="inlineStr"/>
      <c r="E361" s="10" t="n">
        <v>-18184.64</v>
      </c>
      <c r="F361" s="10" t="n">
        <v>33669.38</v>
      </c>
    </row>
    <row r="362" ht="20" customHeight="1">
      <c r="A362" s="3" t="n">
        <v>44713</v>
      </c>
      <c r="B362" s="4" t="inlineStr">
        <is>
          <t>Opening Balance</t>
        </is>
      </c>
      <c r="C362" s="4" t="inlineStr"/>
      <c r="D362" s="5" t="inlineStr"/>
      <c r="E362" s="6" t="n"/>
      <c r="F362" s="6" t="n">
        <v>33669.38</v>
      </c>
    </row>
    <row r="363" ht="20" customHeight="1">
      <c r="A363" s="7" t="n">
        <v>44714</v>
      </c>
      <c r="B363" s="8" t="inlineStr">
        <is>
          <t>Invoice</t>
        </is>
      </c>
      <c r="C363" s="8" t="inlineStr">
        <is>
          <t>13822</t>
        </is>
      </c>
      <c r="D363" s="9" t="inlineStr"/>
      <c r="E363" s="10" t="n">
        <v>2229.07</v>
      </c>
      <c r="F363" s="10" t="n">
        <v>35898.45</v>
      </c>
    </row>
    <row r="364" ht="20" customHeight="1">
      <c r="A364" s="3" t="n">
        <v>44718</v>
      </c>
      <c r="B364" s="4" t="inlineStr">
        <is>
          <t>Invoice</t>
        </is>
      </c>
      <c r="C364" s="4" t="inlineStr">
        <is>
          <t>13877</t>
        </is>
      </c>
      <c r="D364" s="5" t="inlineStr"/>
      <c r="E364" s="6" t="n">
        <v>2229.07</v>
      </c>
      <c r="F364" s="6" t="n">
        <v>38127.52</v>
      </c>
    </row>
    <row r="365" ht="20" customHeight="1">
      <c r="A365" s="7" t="n">
        <v>44721</v>
      </c>
      <c r="B365" s="8" t="inlineStr">
        <is>
          <t>Invoice</t>
        </is>
      </c>
      <c r="C365" s="8" t="inlineStr">
        <is>
          <t>13937</t>
        </is>
      </c>
      <c r="D365" s="9" t="inlineStr"/>
      <c r="E365" s="10" t="n">
        <v>1671.8</v>
      </c>
      <c r="F365" s="10" t="n">
        <v>39799.32</v>
      </c>
    </row>
    <row r="366" ht="20" customHeight="1">
      <c r="A366" s="3" t="n">
        <v>44725</v>
      </c>
      <c r="B366" s="4" t="inlineStr">
        <is>
          <t>Invoice</t>
        </is>
      </c>
      <c r="C366" s="4" t="inlineStr">
        <is>
          <t>13968</t>
        </is>
      </c>
      <c r="D366" s="5" t="inlineStr"/>
      <c r="E366" s="6" t="n">
        <v>1671.8</v>
      </c>
      <c r="F366" s="6" t="n">
        <v>41471.12</v>
      </c>
    </row>
    <row r="367" ht="20" customHeight="1">
      <c r="A367" s="7" t="n">
        <v>44728</v>
      </c>
      <c r="B367" s="8" t="inlineStr">
        <is>
          <t>Invoice</t>
        </is>
      </c>
      <c r="C367" s="8" t="inlineStr">
        <is>
          <t>14049</t>
        </is>
      </c>
      <c r="D367" s="9" t="inlineStr"/>
      <c r="E367" s="10" t="n">
        <v>2229.07</v>
      </c>
      <c r="F367" s="10" t="n">
        <v>43700.19</v>
      </c>
    </row>
    <row r="368" ht="20" customHeight="1">
      <c r="A368" s="3" t="n">
        <v>44732</v>
      </c>
      <c r="B368" s="4" t="inlineStr">
        <is>
          <t>Invoice</t>
        </is>
      </c>
      <c r="C368" s="4" t="inlineStr">
        <is>
          <t>14116</t>
        </is>
      </c>
      <c r="D368" s="5" t="inlineStr"/>
      <c r="E368" s="6" t="n">
        <v>2229.07</v>
      </c>
      <c r="F368" s="6" t="n">
        <v>45929.26</v>
      </c>
    </row>
    <row r="369" ht="20" customHeight="1">
      <c r="A369" s="7" t="n">
        <v>44734</v>
      </c>
      <c r="B369" s="8" t="inlineStr">
        <is>
          <t>Invoice</t>
        </is>
      </c>
      <c r="C369" s="8" t="inlineStr">
        <is>
          <t>14788</t>
        </is>
      </c>
      <c r="D369" s="9" t="inlineStr"/>
      <c r="E369" s="10" t="n">
        <v>1614.81</v>
      </c>
      <c r="F369" s="10" t="n">
        <v>47544.07</v>
      </c>
    </row>
    <row r="370" ht="20" customHeight="1">
      <c r="A370" s="3" t="n">
        <v>44739</v>
      </c>
      <c r="B370" s="4" t="inlineStr">
        <is>
          <t>Invoice</t>
        </is>
      </c>
      <c r="C370" s="4" t="inlineStr">
        <is>
          <t>14341</t>
        </is>
      </c>
      <c r="D370" s="5" t="inlineStr"/>
      <c r="E370" s="6" t="n">
        <v>2229.07</v>
      </c>
      <c r="F370" s="6" t="n">
        <v>49773.14</v>
      </c>
    </row>
    <row r="371" ht="20" customHeight="1">
      <c r="A371" s="7" t="n">
        <v>44743</v>
      </c>
      <c r="B371" s="8" t="inlineStr">
        <is>
          <t>Opening Balance</t>
        </is>
      </c>
      <c r="C371" s="8" t="inlineStr"/>
      <c r="D371" s="9" t="inlineStr"/>
      <c r="E371" s="10" t="n"/>
      <c r="F371" s="10" t="n">
        <v>49773.14</v>
      </c>
    </row>
    <row r="372" ht="20" customHeight="1">
      <c r="A372" s="3" t="n">
        <v>44743</v>
      </c>
      <c r="B372" s="4" t="inlineStr">
        <is>
          <t>Invoice</t>
        </is>
      </c>
      <c r="C372" s="4" t="inlineStr">
        <is>
          <t>14279</t>
        </is>
      </c>
      <c r="D372" s="5" t="inlineStr"/>
      <c r="E372" s="6" t="n">
        <v>2229.07</v>
      </c>
      <c r="F372" s="6" t="n">
        <v>52002.21</v>
      </c>
    </row>
    <row r="373" ht="20" customHeight="1">
      <c r="A373" s="7" t="n">
        <v>44748</v>
      </c>
      <c r="B373" s="8" t="inlineStr">
        <is>
          <t>Invoice</t>
        </is>
      </c>
      <c r="C373" s="8" t="inlineStr">
        <is>
          <t>14353</t>
        </is>
      </c>
      <c r="D373" s="9" t="inlineStr"/>
      <c r="E373" s="10" t="n">
        <v>4458.14</v>
      </c>
      <c r="F373" s="10" t="n">
        <v>56460.35</v>
      </c>
    </row>
    <row r="374" ht="20" customHeight="1">
      <c r="A374" s="3" t="n">
        <v>44755</v>
      </c>
      <c r="B374" s="4" t="inlineStr">
        <is>
          <t>Invoice</t>
        </is>
      </c>
      <c r="C374" s="4" t="inlineStr">
        <is>
          <t>14521</t>
        </is>
      </c>
      <c r="D374" s="5" t="inlineStr"/>
      <c r="E374" s="6" t="n">
        <v>2691.35</v>
      </c>
      <c r="F374" s="6" t="n">
        <v>59151.7</v>
      </c>
    </row>
    <row r="375" ht="20" customHeight="1">
      <c r="A375" s="7" t="n">
        <v>44763</v>
      </c>
      <c r="B375" s="8" t="inlineStr">
        <is>
          <t>Invoice</t>
        </is>
      </c>
      <c r="C375" s="8" t="inlineStr">
        <is>
          <t>14654</t>
        </is>
      </c>
      <c r="D375" s="9" t="inlineStr"/>
      <c r="E375" s="10" t="n">
        <v>3229.61</v>
      </c>
      <c r="F375" s="10" t="n">
        <v>62381.31</v>
      </c>
    </row>
    <row r="376" ht="20" customHeight="1">
      <c r="A376" s="3" t="n">
        <v>44767</v>
      </c>
      <c r="B376" s="4" t="inlineStr">
        <is>
          <t>Payment</t>
        </is>
      </c>
      <c r="C376" s="4" t="inlineStr">
        <is>
          <t>00015071</t>
        </is>
      </c>
      <c r="D376" s="5" t="inlineStr"/>
      <c r="E376" s="6" t="n">
        <v>-17275.67</v>
      </c>
      <c r="F376" s="6" t="n">
        <v>45105.64</v>
      </c>
    </row>
    <row r="377" ht="20" customHeight="1">
      <c r="A377" s="7" t="n">
        <v>44768</v>
      </c>
      <c r="B377" s="8" t="inlineStr">
        <is>
          <t>Invoice</t>
        </is>
      </c>
      <c r="C377" s="8" t="inlineStr">
        <is>
          <t>14744</t>
        </is>
      </c>
      <c r="D377" s="9" t="inlineStr"/>
      <c r="E377" s="10" t="n">
        <v>4561.12</v>
      </c>
      <c r="F377" s="10" t="n">
        <v>49666.76</v>
      </c>
    </row>
    <row r="378" ht="20" customHeight="1">
      <c r="A378" s="3" t="n">
        <v>44774</v>
      </c>
      <c r="B378" s="4" t="inlineStr">
        <is>
          <t>Opening Balance</t>
        </is>
      </c>
      <c r="C378" s="4" t="inlineStr"/>
      <c r="D378" s="5" t="inlineStr"/>
      <c r="E378" s="6" t="n"/>
      <c r="F378" s="6" t="n">
        <v>49666.76</v>
      </c>
    </row>
    <row r="379" ht="20" customHeight="1">
      <c r="A379" s="7" t="n">
        <v>44776</v>
      </c>
      <c r="B379" s="8" t="inlineStr">
        <is>
          <t>Invoice</t>
        </is>
      </c>
      <c r="C379" s="8" t="inlineStr">
        <is>
          <t>14916</t>
        </is>
      </c>
      <c r="D379" s="9" t="inlineStr"/>
      <c r="E379" s="10" t="n">
        <v>3286.61</v>
      </c>
      <c r="F379" s="10" t="n">
        <v>52953.37</v>
      </c>
    </row>
    <row r="380" ht="20" customHeight="1">
      <c r="A380" s="3" t="n">
        <v>44782</v>
      </c>
      <c r="B380" s="4" t="inlineStr">
        <is>
          <t>Invoice</t>
        </is>
      </c>
      <c r="C380" s="4" t="inlineStr">
        <is>
          <t>14994</t>
        </is>
      </c>
      <c r="D380" s="5" t="inlineStr"/>
      <c r="E380" s="6" t="n">
        <v>4929.91</v>
      </c>
      <c r="F380" s="6" t="n">
        <v>57883.28</v>
      </c>
    </row>
    <row r="381" ht="20" customHeight="1">
      <c r="A381" s="7" t="n">
        <v>44783</v>
      </c>
      <c r="B381" s="8" t="inlineStr">
        <is>
          <t>Payment</t>
        </is>
      </c>
      <c r="C381" s="8" t="inlineStr">
        <is>
          <t>00015473</t>
        </is>
      </c>
      <c r="D381" s="9" t="inlineStr"/>
      <c r="E381" s="10" t="n">
        <v>-14488.95</v>
      </c>
      <c r="F381" s="10" t="n">
        <v>43394.33</v>
      </c>
    </row>
    <row r="382" ht="20" customHeight="1">
      <c r="A382" s="3" t="n">
        <v>44791</v>
      </c>
      <c r="B382" s="4" t="inlineStr">
        <is>
          <t>Invoice</t>
        </is>
      </c>
      <c r="C382" s="4" t="inlineStr">
        <is>
          <t>15189</t>
        </is>
      </c>
      <c r="D382" s="5" t="inlineStr"/>
      <c r="E382" s="6" t="n">
        <v>2738.84</v>
      </c>
      <c r="F382" s="6" t="n">
        <v>46133.17</v>
      </c>
    </row>
    <row r="383" ht="20" customHeight="1">
      <c r="A383" s="7" t="n">
        <v>44791</v>
      </c>
      <c r="B383" s="8" t="inlineStr">
        <is>
          <t>Invoice</t>
        </is>
      </c>
      <c r="C383" s="8" t="inlineStr">
        <is>
          <t>15191</t>
        </is>
      </c>
      <c r="D383" s="9" t="inlineStr"/>
      <c r="E383" s="10" t="n">
        <v>4382.14</v>
      </c>
      <c r="F383" s="10" t="n">
        <v>50515.31</v>
      </c>
    </row>
    <row r="384" ht="20" customHeight="1">
      <c r="A384" s="3" t="n">
        <v>44791</v>
      </c>
      <c r="B384" s="4" t="inlineStr">
        <is>
          <t>Crd Note</t>
        </is>
      </c>
      <c r="C384" s="4" t="inlineStr">
        <is>
          <t>3901</t>
        </is>
      </c>
      <c r="D384" s="5" t="inlineStr"/>
      <c r="E384" s="6" t="n">
        <v>-2738.84</v>
      </c>
      <c r="F384" s="6" t="n">
        <v>47776.47</v>
      </c>
    </row>
    <row r="385" ht="20" customHeight="1">
      <c r="A385" s="7" t="n">
        <v>44799</v>
      </c>
      <c r="B385" s="8" t="inlineStr">
        <is>
          <t>Invoice</t>
        </is>
      </c>
      <c r="C385" s="8" t="inlineStr">
        <is>
          <t>15343</t>
        </is>
      </c>
      <c r="D385" s="9" t="inlineStr"/>
      <c r="E385" s="10" t="n">
        <v>3286.61</v>
      </c>
      <c r="F385" s="10" t="n">
        <v>51063.08</v>
      </c>
    </row>
    <row r="386" ht="20" customHeight="1">
      <c r="A386" s="3" t="n">
        <v>44799</v>
      </c>
      <c r="B386" s="4" t="inlineStr">
        <is>
          <t>Crd Note</t>
        </is>
      </c>
      <c r="C386" s="4" t="inlineStr">
        <is>
          <t>3964</t>
        </is>
      </c>
      <c r="D386" s="5" t="inlineStr"/>
      <c r="E386" s="6" t="n">
        <v>-547.77</v>
      </c>
      <c r="F386" s="6" t="n">
        <v>50515.31</v>
      </c>
    </row>
    <row r="387" ht="20" customHeight="1">
      <c r="A387" s="7" t="n">
        <v>44801</v>
      </c>
      <c r="B387" s="8" t="inlineStr">
        <is>
          <t>Invoice</t>
        </is>
      </c>
      <c r="C387" s="8" t="inlineStr">
        <is>
          <t>15360</t>
        </is>
      </c>
      <c r="D387" s="9" t="inlineStr"/>
      <c r="E387" s="10" t="n">
        <v>547.77</v>
      </c>
      <c r="F387" s="10" t="n">
        <v>51063.08</v>
      </c>
    </row>
    <row r="388" ht="20" customHeight="1">
      <c r="A388" s="3" t="n">
        <v>44801</v>
      </c>
      <c r="B388" s="4" t="inlineStr">
        <is>
          <t>Crd Note</t>
        </is>
      </c>
      <c r="C388" s="4" t="inlineStr">
        <is>
          <t>3969</t>
        </is>
      </c>
      <c r="D388" s="5" t="inlineStr"/>
      <c r="E388" s="6" t="n">
        <v>-547.77</v>
      </c>
      <c r="F388" s="6" t="n">
        <v>50515.31</v>
      </c>
    </row>
    <row r="389" ht="20" customHeight="1">
      <c r="A389" s="7" t="n">
        <v>44804</v>
      </c>
      <c r="B389" s="8" t="inlineStr">
        <is>
          <t>Invoice</t>
        </is>
      </c>
      <c r="C389" s="8" t="inlineStr">
        <is>
          <t>15423</t>
        </is>
      </c>
      <c r="D389" s="9" t="inlineStr"/>
      <c r="E389" s="10" t="n">
        <v>2767.68</v>
      </c>
      <c r="F389" s="10" t="n">
        <v>53282.99</v>
      </c>
    </row>
    <row r="390" ht="20" customHeight="1">
      <c r="A390" s="3" t="n">
        <v>44805</v>
      </c>
      <c r="B390" s="4" t="inlineStr">
        <is>
          <t>Opening Balance</t>
        </is>
      </c>
      <c r="C390" s="4" t="inlineStr"/>
      <c r="D390" s="5" t="inlineStr"/>
      <c r="E390" s="6" t="n"/>
      <c r="F390" s="6" t="n">
        <v>53282.99</v>
      </c>
    </row>
    <row r="391" ht="20" customHeight="1">
      <c r="A391" s="7" t="n">
        <v>44808</v>
      </c>
      <c r="B391" s="8" t="inlineStr">
        <is>
          <t>Invoice</t>
        </is>
      </c>
      <c r="C391" s="8" t="inlineStr">
        <is>
          <t>15490</t>
        </is>
      </c>
      <c r="D391" s="9" t="inlineStr"/>
      <c r="E391" s="10" t="n">
        <v>1383.84</v>
      </c>
      <c r="F391" s="10" t="n">
        <v>54666.83</v>
      </c>
    </row>
    <row r="392" ht="20" customHeight="1">
      <c r="A392" s="3" t="n">
        <v>44812</v>
      </c>
      <c r="B392" s="4" t="inlineStr">
        <is>
          <t>Invoice</t>
        </is>
      </c>
      <c r="C392" s="4" t="inlineStr">
        <is>
          <t>15556</t>
        </is>
      </c>
      <c r="D392" s="5" t="inlineStr"/>
      <c r="E392" s="6" t="n">
        <v>4151.52</v>
      </c>
      <c r="F392" s="6" t="n">
        <v>58818.35</v>
      </c>
    </row>
    <row r="393" ht="20" customHeight="1">
      <c r="A393" s="7" t="n">
        <v>44813</v>
      </c>
      <c r="B393" s="8" t="inlineStr">
        <is>
          <t>Payment</t>
        </is>
      </c>
      <c r="C393" s="8" t="inlineStr">
        <is>
          <t>00015987</t>
        </is>
      </c>
      <c r="D393" s="9" t="inlineStr"/>
      <c r="E393" s="10" t="n">
        <v>-17169.29</v>
      </c>
      <c r="F393" s="10" t="n">
        <v>41649.06</v>
      </c>
    </row>
    <row r="394" ht="20" customHeight="1">
      <c r="A394" s="3" t="n">
        <v>44818</v>
      </c>
      <c r="B394" s="4" t="inlineStr">
        <is>
          <t>Invoice</t>
        </is>
      </c>
      <c r="C394" s="4" t="inlineStr">
        <is>
          <t>15623</t>
        </is>
      </c>
      <c r="D394" s="5" t="inlineStr"/>
      <c r="E394" s="6" t="n">
        <v>4151.52</v>
      </c>
      <c r="F394" s="6" t="n">
        <v>45800.58</v>
      </c>
    </row>
    <row r="395" ht="20" customHeight="1">
      <c r="A395" s="7" t="n">
        <v>44826</v>
      </c>
      <c r="B395" s="8" t="inlineStr">
        <is>
          <t>Invoice</t>
        </is>
      </c>
      <c r="C395" s="8" t="inlineStr">
        <is>
          <t>15782</t>
        </is>
      </c>
      <c r="D395" s="9" t="inlineStr"/>
      <c r="E395" s="10" t="n">
        <v>4151.52</v>
      </c>
      <c r="F395" s="10" t="n">
        <v>49952.1</v>
      </c>
    </row>
    <row r="396" ht="20" customHeight="1">
      <c r="A396" s="3" t="n">
        <v>44834</v>
      </c>
      <c r="B396" s="4" t="inlineStr">
        <is>
          <t>Invoice</t>
        </is>
      </c>
      <c r="C396" s="4" t="inlineStr">
        <is>
          <t>15865</t>
        </is>
      </c>
      <c r="D396" s="5" t="inlineStr"/>
      <c r="E396" s="6" t="n">
        <v>2767.68</v>
      </c>
      <c r="F396" s="6" t="n">
        <v>52719.78</v>
      </c>
    </row>
    <row r="397" ht="20" customHeight="1">
      <c r="A397" s="7" t="n">
        <v>44835</v>
      </c>
      <c r="B397" s="8" t="inlineStr">
        <is>
          <t>Opening Balance</t>
        </is>
      </c>
      <c r="C397" s="8" t="inlineStr"/>
      <c r="D397" s="9" t="inlineStr"/>
      <c r="E397" s="10" t="n"/>
      <c r="F397" s="10" t="n">
        <v>52719.78</v>
      </c>
    </row>
    <row r="398" ht="20" customHeight="1">
      <c r="A398" s="3" t="n">
        <v>44840</v>
      </c>
      <c r="B398" s="4" t="inlineStr">
        <is>
          <t>Invoice</t>
        </is>
      </c>
      <c r="C398" s="4" t="inlineStr">
        <is>
          <t>15953</t>
        </is>
      </c>
      <c r="D398" s="5" t="inlineStr"/>
      <c r="E398" s="6" t="n">
        <v>2767.68</v>
      </c>
      <c r="F398" s="6" t="n">
        <v>55487.46</v>
      </c>
    </row>
    <row r="399" ht="20" customHeight="1">
      <c r="A399" s="7" t="n">
        <v>44845</v>
      </c>
      <c r="B399" s="8" t="inlineStr">
        <is>
          <t>Invoice</t>
        </is>
      </c>
      <c r="C399" s="8" t="inlineStr">
        <is>
          <t>16019</t>
        </is>
      </c>
      <c r="D399" s="9" t="inlineStr"/>
      <c r="E399" s="10" t="n">
        <v>2767.68</v>
      </c>
      <c r="F399" s="10" t="n">
        <v>58255.14</v>
      </c>
    </row>
    <row r="400" ht="20" customHeight="1">
      <c r="A400" s="3" t="n">
        <v>44853</v>
      </c>
      <c r="B400" s="4" t="inlineStr">
        <is>
          <t>Payment</t>
        </is>
      </c>
      <c r="C400" s="4" t="inlineStr">
        <is>
          <t>00016648</t>
        </is>
      </c>
      <c r="D400" s="5" t="inlineStr"/>
      <c r="E400" s="6" t="n">
        <v>-15885.27</v>
      </c>
      <c r="F400" s="6" t="n">
        <v>42369.87</v>
      </c>
    </row>
    <row r="401" ht="20" customHeight="1">
      <c r="A401" s="7" t="n">
        <v>44853</v>
      </c>
      <c r="B401" s="8" t="inlineStr">
        <is>
          <t>Invoice</t>
        </is>
      </c>
      <c r="C401" s="8" t="inlineStr">
        <is>
          <t>16125</t>
        </is>
      </c>
      <c r="D401" s="9" t="inlineStr"/>
      <c r="E401" s="10" t="n">
        <v>2767.68</v>
      </c>
      <c r="F401" s="10" t="n">
        <v>45137.55</v>
      </c>
    </row>
    <row r="402" ht="20" customHeight="1">
      <c r="A402" s="3" t="n">
        <v>44859</v>
      </c>
      <c r="B402" s="4" t="inlineStr">
        <is>
          <t>Invoice</t>
        </is>
      </c>
      <c r="C402" s="4" t="inlineStr">
        <is>
          <t>16185</t>
        </is>
      </c>
      <c r="D402" s="5" t="inlineStr"/>
      <c r="E402" s="6" t="n">
        <v>4151.52</v>
      </c>
      <c r="F402" s="6" t="n">
        <v>49289.07</v>
      </c>
    </row>
    <row r="403" ht="20" customHeight="1">
      <c r="A403" s="7" t="n">
        <v>44866</v>
      </c>
      <c r="B403" s="8" t="inlineStr">
        <is>
          <t>Opening Balance</t>
        </is>
      </c>
      <c r="C403" s="8" t="inlineStr"/>
      <c r="D403" s="9" t="inlineStr"/>
      <c r="E403" s="10" t="n"/>
      <c r="F403" s="10" t="n">
        <v>49289.07</v>
      </c>
    </row>
    <row r="404" ht="20" customHeight="1">
      <c r="A404" s="3" t="n">
        <v>44867</v>
      </c>
      <c r="B404" s="4" t="inlineStr">
        <is>
          <t>Invoice</t>
        </is>
      </c>
      <c r="C404" s="4" t="inlineStr">
        <is>
          <t>16308</t>
        </is>
      </c>
      <c r="D404" s="5" t="inlineStr"/>
      <c r="E404" s="6" t="n">
        <v>2767.68</v>
      </c>
      <c r="F404" s="6" t="n">
        <v>52056.75</v>
      </c>
    </row>
    <row r="405" ht="20" customHeight="1">
      <c r="A405" s="7" t="n">
        <v>44874</v>
      </c>
      <c r="B405" s="8" t="inlineStr">
        <is>
          <t>Invoice</t>
        </is>
      </c>
      <c r="C405" s="8" t="inlineStr">
        <is>
          <t>16397</t>
        </is>
      </c>
      <c r="D405" s="9" t="inlineStr"/>
      <c r="E405" s="10" t="n">
        <v>2686.08</v>
      </c>
      <c r="F405" s="10" t="n">
        <v>54742.83</v>
      </c>
    </row>
    <row r="406" ht="20" customHeight="1">
      <c r="A406" s="3" t="n">
        <v>44882</v>
      </c>
      <c r="B406" s="4" t="inlineStr">
        <is>
          <t>Invoice</t>
        </is>
      </c>
      <c r="C406" s="4" t="inlineStr">
        <is>
          <t>16505</t>
        </is>
      </c>
      <c r="D406" s="5" t="inlineStr"/>
      <c r="E406" s="6" t="n">
        <v>2686.08</v>
      </c>
      <c r="F406" s="6" t="n">
        <v>57428.91</v>
      </c>
    </row>
    <row r="407" ht="20" customHeight="1">
      <c r="A407" s="7" t="n">
        <v>44888</v>
      </c>
      <c r="B407" s="8" t="inlineStr">
        <is>
          <t>Payment</t>
        </is>
      </c>
      <c r="C407" s="8" t="inlineStr">
        <is>
          <t>00017073</t>
        </is>
      </c>
      <c r="D407" s="9" t="inlineStr"/>
      <c r="E407" s="10" t="n">
        <v>-13838.4</v>
      </c>
      <c r="F407" s="10" t="n">
        <v>43590.51</v>
      </c>
    </row>
    <row r="408" ht="20" customHeight="1">
      <c r="A408" s="3" t="n">
        <v>44888</v>
      </c>
      <c r="B408" s="4" t="inlineStr">
        <is>
          <t>Invoice</t>
        </is>
      </c>
      <c r="C408" s="4" t="inlineStr">
        <is>
          <t>16557</t>
        </is>
      </c>
      <c r="D408" s="5" t="inlineStr"/>
      <c r="E408" s="6" t="n">
        <v>2686.08</v>
      </c>
      <c r="F408" s="6" t="n">
        <v>46276.59</v>
      </c>
    </row>
    <row r="409" ht="20" customHeight="1">
      <c r="A409" s="7" t="n">
        <v>44894</v>
      </c>
      <c r="B409" s="8" t="inlineStr">
        <is>
          <t>Invoice</t>
        </is>
      </c>
      <c r="C409" s="8" t="inlineStr">
        <is>
          <t>16647</t>
        </is>
      </c>
      <c r="D409" s="9" t="inlineStr"/>
      <c r="E409" s="10" t="n">
        <v>2686.08</v>
      </c>
      <c r="F409" s="10" t="n">
        <v>48962.67</v>
      </c>
    </row>
    <row r="410" ht="20" customHeight="1">
      <c r="A410" s="3" t="n">
        <v>44894</v>
      </c>
      <c r="B410" s="4" t="inlineStr">
        <is>
          <t>Crd Note</t>
        </is>
      </c>
      <c r="C410" s="4" t="inlineStr">
        <is>
          <t>4336</t>
        </is>
      </c>
      <c r="D410" s="5" t="inlineStr"/>
      <c r="E410" s="6" t="n">
        <v>-2686.08</v>
      </c>
      <c r="F410" s="6" t="n">
        <v>46276.59</v>
      </c>
    </row>
    <row r="411" ht="20" customHeight="1">
      <c r="A411" s="7" t="n">
        <v>44894</v>
      </c>
      <c r="B411" s="8" t="inlineStr">
        <is>
          <t>Crd Note</t>
        </is>
      </c>
      <c r="C411" s="8" t="inlineStr">
        <is>
          <t>4337</t>
        </is>
      </c>
      <c r="D411" s="9" t="inlineStr"/>
      <c r="E411" s="10" t="n">
        <v>-2686.08</v>
      </c>
      <c r="F411" s="10" t="n">
        <v>43590.51</v>
      </c>
    </row>
    <row r="412" ht="20" customHeight="1">
      <c r="A412" s="3" t="n">
        <v>44895</v>
      </c>
      <c r="B412" s="4" t="inlineStr">
        <is>
          <t>Invoice</t>
        </is>
      </c>
      <c r="C412" s="4" t="inlineStr">
        <is>
          <t>16648</t>
        </is>
      </c>
      <c r="D412" s="5" t="inlineStr"/>
      <c r="E412" s="6" t="n">
        <v>2686.08</v>
      </c>
      <c r="F412" s="6" t="n">
        <v>46276.59</v>
      </c>
    </row>
    <row r="413" ht="20" customHeight="1">
      <c r="A413" s="7" t="n">
        <v>44895</v>
      </c>
      <c r="B413" s="8" t="inlineStr">
        <is>
          <t>Invoice</t>
        </is>
      </c>
      <c r="C413" s="8" t="inlineStr">
        <is>
          <t>16649</t>
        </is>
      </c>
      <c r="D413" s="9" t="inlineStr"/>
      <c r="E413" s="10" t="n">
        <v>3217.7</v>
      </c>
      <c r="F413" s="10" t="n">
        <v>49494.29</v>
      </c>
    </row>
    <row r="414" ht="20" customHeight="1">
      <c r="A414" s="3" t="n">
        <v>44896</v>
      </c>
      <c r="B414" s="4" t="inlineStr">
        <is>
          <t>Opening Balance</t>
        </is>
      </c>
      <c r="C414" s="4" t="inlineStr"/>
      <c r="D414" s="5" t="inlineStr"/>
      <c r="E414" s="6" t="n"/>
      <c r="F414" s="6" t="n">
        <v>49494.29</v>
      </c>
    </row>
    <row r="415" ht="20" customHeight="1">
      <c r="A415" s="7" t="n">
        <v>44900</v>
      </c>
      <c r="B415" s="8" t="inlineStr">
        <is>
          <t>Invoice</t>
        </is>
      </c>
      <c r="C415" s="8" t="inlineStr">
        <is>
          <t>16718</t>
        </is>
      </c>
      <c r="D415" s="9" t="inlineStr"/>
      <c r="E415" s="10" t="n">
        <v>4029.12</v>
      </c>
      <c r="F415" s="10" t="n">
        <v>53523.41</v>
      </c>
    </row>
    <row r="416" ht="20" customHeight="1">
      <c r="A416" s="3" t="n">
        <v>44900</v>
      </c>
      <c r="B416" s="4" t="inlineStr">
        <is>
          <t>Invoice</t>
        </is>
      </c>
      <c r="C416" s="4" t="inlineStr">
        <is>
          <t>16723</t>
        </is>
      </c>
      <c r="D416" s="5" t="inlineStr"/>
      <c r="E416" s="6" t="n">
        <v>5372.16</v>
      </c>
      <c r="F416" s="6" t="n">
        <v>58895.57</v>
      </c>
    </row>
    <row r="417" ht="20" customHeight="1">
      <c r="A417" s="7" t="n">
        <v>44900</v>
      </c>
      <c r="B417" s="8" t="inlineStr">
        <is>
          <t>Crd Note</t>
        </is>
      </c>
      <c r="C417" s="8" t="inlineStr">
        <is>
          <t>4349</t>
        </is>
      </c>
      <c r="D417" s="9" t="inlineStr"/>
      <c r="E417" s="10" t="n">
        <v>-4029.12</v>
      </c>
      <c r="F417" s="10" t="n">
        <v>54866.45</v>
      </c>
    </row>
    <row r="418" ht="20" customHeight="1">
      <c r="A418" s="3" t="n">
        <v>44907</v>
      </c>
      <c r="B418" s="4" t="inlineStr">
        <is>
          <t>Invoice</t>
        </is>
      </c>
      <c r="C418" s="4" t="inlineStr">
        <is>
          <t>16826</t>
        </is>
      </c>
      <c r="D418" s="5" t="inlineStr"/>
      <c r="E418" s="6" t="n">
        <v>5531.5</v>
      </c>
      <c r="F418" s="6" t="n">
        <v>60397.95</v>
      </c>
    </row>
    <row r="419" ht="20" customHeight="1">
      <c r="A419" s="7" t="n">
        <v>44913</v>
      </c>
      <c r="B419" s="8" t="inlineStr">
        <is>
          <t>Payment</t>
        </is>
      </c>
      <c r="C419" s="8" t="inlineStr">
        <is>
          <t>00017578</t>
        </is>
      </c>
      <c r="D419" s="9" t="inlineStr"/>
      <c r="E419" s="10" t="n">
        <v>-17989.92</v>
      </c>
      <c r="F419" s="10" t="n">
        <v>42408.03</v>
      </c>
    </row>
    <row r="420" ht="20" customHeight="1">
      <c r="A420" s="3" t="n">
        <v>44913</v>
      </c>
      <c r="B420" s="4" t="inlineStr">
        <is>
          <t>Invoice</t>
        </is>
      </c>
      <c r="C420" s="4" t="inlineStr">
        <is>
          <t>16934</t>
        </is>
      </c>
      <c r="D420" s="5" t="inlineStr"/>
      <c r="E420" s="6" t="n">
        <v>5531.5</v>
      </c>
      <c r="F420" s="6" t="n">
        <v>47939.53</v>
      </c>
    </row>
    <row r="421" ht="20" customHeight="1">
      <c r="A421" s="7" t="n">
        <v>44917</v>
      </c>
      <c r="B421" s="8" t="inlineStr">
        <is>
          <t>Invoice</t>
        </is>
      </c>
      <c r="C421" s="8" t="inlineStr">
        <is>
          <t>17014</t>
        </is>
      </c>
      <c r="D421" s="9" t="inlineStr"/>
      <c r="E421" s="10" t="n">
        <v>2765.75</v>
      </c>
      <c r="F421" s="10" t="n">
        <v>50705.28</v>
      </c>
    </row>
    <row r="422" ht="20" customHeight="1">
      <c r="A422" s="3" t="n">
        <v>44925</v>
      </c>
      <c r="B422" s="4" t="inlineStr">
        <is>
          <t>Invoice</t>
        </is>
      </c>
      <c r="C422" s="4" t="inlineStr">
        <is>
          <t>17132</t>
        </is>
      </c>
      <c r="D422" s="5" t="inlineStr"/>
      <c r="E422" s="6" t="n">
        <v>2765.75</v>
      </c>
      <c r="F422" s="6" t="n">
        <v>53471.03</v>
      </c>
    </row>
    <row r="423" ht="20" customHeight="1">
      <c r="A423" s="7" t="n">
        <v>44927</v>
      </c>
      <c r="B423" s="8" t="inlineStr">
        <is>
          <t>Opening Balance</t>
        </is>
      </c>
      <c r="C423" s="8" t="inlineStr"/>
      <c r="D423" s="9" t="inlineStr"/>
      <c r="E423" s="10" t="n"/>
      <c r="F423" s="10" t="n">
        <v>53471.03</v>
      </c>
    </row>
    <row r="424" ht="20" customHeight="1">
      <c r="A424" s="3" t="n">
        <v>44931</v>
      </c>
      <c r="B424" s="4" t="inlineStr">
        <is>
          <t>Invoice</t>
        </is>
      </c>
      <c r="C424" s="4" t="inlineStr">
        <is>
          <t>17191</t>
        </is>
      </c>
      <c r="D424" s="5" t="inlineStr"/>
      <c r="E424" s="6" t="n">
        <v>2833.92</v>
      </c>
      <c r="F424" s="6" t="n">
        <v>56304.95</v>
      </c>
    </row>
    <row r="425" ht="20" customHeight="1">
      <c r="A425" s="7" t="n">
        <v>44937</v>
      </c>
      <c r="B425" s="8" t="inlineStr">
        <is>
          <t>Invoice</t>
        </is>
      </c>
      <c r="C425" s="8" t="inlineStr">
        <is>
          <t>17256</t>
        </is>
      </c>
      <c r="D425" s="9" t="inlineStr"/>
      <c r="E425" s="10" t="n">
        <v>2833.92</v>
      </c>
      <c r="F425" s="10" t="n">
        <v>59138.87</v>
      </c>
    </row>
    <row r="426" ht="20" customHeight="1">
      <c r="A426" s="3" t="n">
        <v>44944</v>
      </c>
      <c r="B426" s="4" t="inlineStr">
        <is>
          <t>Payment</t>
        </is>
      </c>
      <c r="C426" s="4" t="inlineStr">
        <is>
          <t>00017777</t>
        </is>
      </c>
      <c r="D426" s="5" t="inlineStr"/>
      <c r="E426" s="6" t="n">
        <v>-10825.92</v>
      </c>
      <c r="F426" s="6" t="n">
        <v>48312.95</v>
      </c>
    </row>
    <row r="427" ht="20" customHeight="1">
      <c r="A427" s="7" t="n">
        <v>44948</v>
      </c>
      <c r="B427" s="8" t="inlineStr">
        <is>
          <t>Invoice</t>
        </is>
      </c>
      <c r="C427" s="8" t="inlineStr">
        <is>
          <t>17357</t>
        </is>
      </c>
      <c r="D427" s="9" t="inlineStr"/>
      <c r="E427" s="10" t="n">
        <v>1416.96</v>
      </c>
      <c r="F427" s="10" t="n">
        <v>49729.91</v>
      </c>
    </row>
    <row r="428" ht="20" customHeight="1">
      <c r="A428" s="3" t="n">
        <v>44949</v>
      </c>
      <c r="B428" s="4" t="inlineStr">
        <is>
          <t>Invoice</t>
        </is>
      </c>
      <c r="C428" s="4" t="inlineStr">
        <is>
          <t>17369</t>
        </is>
      </c>
      <c r="D428" s="5" t="inlineStr"/>
      <c r="E428" s="6" t="n">
        <v>4250.88</v>
      </c>
      <c r="F428" s="6" t="n">
        <v>53980.79</v>
      </c>
    </row>
    <row r="429" ht="20" customHeight="1">
      <c r="A429" s="7" t="n">
        <v>44958</v>
      </c>
      <c r="B429" s="8" t="inlineStr">
        <is>
          <t>Opening Balance</t>
        </is>
      </c>
      <c r="C429" s="8" t="inlineStr"/>
      <c r="D429" s="9" t="inlineStr"/>
      <c r="E429" s="10" t="n"/>
      <c r="F429" s="10" t="n">
        <v>53980.79</v>
      </c>
    </row>
    <row r="430" ht="20" customHeight="1">
      <c r="A430" s="3" t="n">
        <v>44959</v>
      </c>
      <c r="B430" s="4" t="inlineStr">
        <is>
          <t>Invoice</t>
        </is>
      </c>
      <c r="C430" s="4" t="inlineStr">
        <is>
          <t>17458</t>
        </is>
      </c>
      <c r="D430" s="5" t="inlineStr"/>
      <c r="E430" s="6" t="n">
        <v>2833.92</v>
      </c>
      <c r="F430" s="6" t="n">
        <v>56814.71</v>
      </c>
    </row>
    <row r="431" ht="20" customHeight="1">
      <c r="A431" s="7" t="n">
        <v>44967</v>
      </c>
      <c r="B431" s="8" t="inlineStr">
        <is>
          <t>Invoice</t>
        </is>
      </c>
      <c r="C431" s="8" t="inlineStr">
        <is>
          <t>17581</t>
        </is>
      </c>
      <c r="D431" s="9" t="inlineStr"/>
      <c r="E431" s="10" t="n">
        <v>5433.8</v>
      </c>
      <c r="F431" s="10" t="n">
        <v>62248.51</v>
      </c>
    </row>
    <row r="432" ht="20" customHeight="1">
      <c r="A432" s="3" t="n">
        <v>44969</v>
      </c>
      <c r="B432" s="4" t="inlineStr">
        <is>
          <t>Payment</t>
        </is>
      </c>
      <c r="C432" s="4" t="inlineStr">
        <is>
          <t>00018185</t>
        </is>
      </c>
      <c r="D432" s="5" t="inlineStr"/>
      <c r="E432" s="6" t="n">
        <v>-25184.36</v>
      </c>
      <c r="F432" s="6" t="n">
        <v>37064.15</v>
      </c>
    </row>
    <row r="433" ht="20" customHeight="1">
      <c r="A433" s="7" t="n">
        <v>44979</v>
      </c>
      <c r="B433" s="8" t="inlineStr">
        <is>
          <t>Invoice</t>
        </is>
      </c>
      <c r="C433" s="8" t="inlineStr">
        <is>
          <t>17769</t>
        </is>
      </c>
      <c r="D433" s="9" t="inlineStr"/>
      <c r="E433" s="10" t="n">
        <v>4075.35</v>
      </c>
      <c r="F433" s="10" t="n">
        <v>41139.5</v>
      </c>
    </row>
    <row r="434" ht="20" customHeight="1">
      <c r="A434" s="3" t="n">
        <v>44986</v>
      </c>
      <c r="B434" s="4" t="inlineStr">
        <is>
          <t>Opening Balance</t>
        </is>
      </c>
      <c r="C434" s="4" t="inlineStr"/>
      <c r="D434" s="5" t="inlineStr"/>
      <c r="E434" s="6" t="n"/>
      <c r="F434" s="6" t="n">
        <v>41139.5</v>
      </c>
    </row>
    <row r="435" ht="20" customHeight="1">
      <c r="A435" s="7" t="n">
        <v>44986</v>
      </c>
      <c r="B435" s="8" t="inlineStr">
        <is>
          <t>Invoice</t>
        </is>
      </c>
      <c r="C435" s="8" t="inlineStr">
        <is>
          <t>18062</t>
        </is>
      </c>
      <c r="D435" s="9" t="inlineStr"/>
      <c r="E435" s="10" t="n">
        <v>6305.48</v>
      </c>
      <c r="F435" s="10" t="n">
        <v>47444.98</v>
      </c>
    </row>
    <row r="436" ht="20" customHeight="1">
      <c r="A436" s="3" t="n">
        <v>44992</v>
      </c>
      <c r="B436" s="4" t="inlineStr">
        <is>
          <t>Invoice</t>
        </is>
      </c>
      <c r="C436" s="4" t="inlineStr">
        <is>
          <t>18299</t>
        </is>
      </c>
      <c r="D436" s="5" t="inlineStr"/>
      <c r="E436" s="6" t="n">
        <v>2801.72</v>
      </c>
      <c r="F436" s="6" t="n">
        <v>50246.7</v>
      </c>
    </row>
    <row r="437" ht="20" customHeight="1">
      <c r="A437" s="7" t="n">
        <v>45000</v>
      </c>
      <c r="B437" s="8" t="inlineStr">
        <is>
          <t>Invoice</t>
        </is>
      </c>
      <c r="C437" s="8" t="inlineStr">
        <is>
          <t>18507</t>
        </is>
      </c>
      <c r="D437" s="9" t="inlineStr"/>
      <c r="E437" s="10" t="n">
        <v>2801.72</v>
      </c>
      <c r="F437" s="10" t="n">
        <v>53048.42</v>
      </c>
    </row>
    <row r="438" ht="20" customHeight="1">
      <c r="A438" s="3" t="n">
        <v>45006</v>
      </c>
      <c r="B438" s="4" t="inlineStr">
        <is>
          <t>Payment</t>
        </is>
      </c>
      <c r="C438" s="4" t="inlineStr">
        <is>
          <t>00019176</t>
        </is>
      </c>
      <c r="D438" s="5" t="inlineStr"/>
      <c r="E438" s="6" t="n">
        <v>-11335.68</v>
      </c>
      <c r="F438" s="6" t="n">
        <v>41712.74</v>
      </c>
    </row>
    <row r="439" ht="20" customHeight="1">
      <c r="A439" s="7" t="n">
        <v>45007</v>
      </c>
      <c r="B439" s="8" t="inlineStr">
        <is>
          <t>Invoice</t>
        </is>
      </c>
      <c r="C439" s="8" t="inlineStr">
        <is>
          <t>18695</t>
        </is>
      </c>
      <c r="D439" s="9" t="inlineStr"/>
      <c r="E439" s="10" t="n">
        <v>4202.58</v>
      </c>
      <c r="F439" s="10" t="n">
        <v>45915.32</v>
      </c>
    </row>
    <row r="440" ht="20" customHeight="1">
      <c r="A440" s="3" t="n">
        <v>45017</v>
      </c>
      <c r="B440" s="4" t="inlineStr">
        <is>
          <t>Opening Balance</t>
        </is>
      </c>
      <c r="C440" s="4" t="inlineStr"/>
      <c r="D440" s="5" t="inlineStr"/>
      <c r="E440" s="6" t="n"/>
      <c r="F440" s="6" t="n">
        <v>45915.32</v>
      </c>
    </row>
    <row r="441" ht="20" customHeight="1">
      <c r="A441" s="7" t="n">
        <v>45021</v>
      </c>
      <c r="B441" s="8" t="inlineStr">
        <is>
          <t>Invoice</t>
        </is>
      </c>
      <c r="C441" s="8" t="inlineStr">
        <is>
          <t>19153</t>
        </is>
      </c>
      <c r="D441" s="9" t="inlineStr"/>
      <c r="E441" s="10" t="n">
        <v>5603.44</v>
      </c>
      <c r="F441" s="10" t="n">
        <v>51518.76</v>
      </c>
    </row>
    <row r="442" ht="20" customHeight="1">
      <c r="A442" s="3" t="n">
        <v>45029</v>
      </c>
      <c r="B442" s="4" t="inlineStr">
        <is>
          <t>Invoice</t>
        </is>
      </c>
      <c r="C442" s="4" t="inlineStr">
        <is>
          <t>19347</t>
        </is>
      </c>
      <c r="D442" s="5" t="inlineStr"/>
      <c r="E442" s="6" t="n">
        <v>2724.93</v>
      </c>
      <c r="F442" s="6" t="n">
        <v>54243.69</v>
      </c>
    </row>
    <row r="443" ht="20" customHeight="1">
      <c r="A443" s="7" t="n">
        <v>45035</v>
      </c>
      <c r="B443" s="8" t="inlineStr">
        <is>
          <t>Invoice</t>
        </is>
      </c>
      <c r="C443" s="8" t="inlineStr">
        <is>
          <t>19494</t>
        </is>
      </c>
      <c r="D443" s="9" t="inlineStr"/>
      <c r="E443" s="10" t="n">
        <v>2724.93</v>
      </c>
      <c r="F443" s="10" t="n">
        <v>56968.62</v>
      </c>
    </row>
    <row r="444" ht="20" customHeight="1">
      <c r="A444" s="3" t="n">
        <v>45041</v>
      </c>
      <c r="B444" s="4" t="inlineStr">
        <is>
          <t>Invoice</t>
        </is>
      </c>
      <c r="C444" s="4" t="inlineStr">
        <is>
          <t>19697</t>
        </is>
      </c>
      <c r="D444" s="5" t="inlineStr"/>
      <c r="E444" s="6" t="n">
        <v>4087.39</v>
      </c>
      <c r="F444" s="6" t="n">
        <v>61056.01</v>
      </c>
    </row>
    <row r="445" ht="20" customHeight="1">
      <c r="A445" s="7" t="n">
        <v>45047</v>
      </c>
      <c r="B445" s="8" t="inlineStr">
        <is>
          <t>Opening Balance</t>
        </is>
      </c>
      <c r="C445" s="8" t="inlineStr"/>
      <c r="D445" s="9" t="inlineStr"/>
      <c r="E445" s="10" t="n"/>
      <c r="F445" s="10" t="n">
        <v>61056.01</v>
      </c>
    </row>
    <row r="446" ht="20" customHeight="1">
      <c r="A446" s="3" t="n">
        <v>45047</v>
      </c>
      <c r="B446" s="4" t="inlineStr">
        <is>
          <t>Payment</t>
        </is>
      </c>
      <c r="C446" s="4" t="inlineStr">
        <is>
          <t>00020357</t>
        </is>
      </c>
      <c r="D446" s="5" t="inlineStr"/>
      <c r="E446" s="6" t="n">
        <v>-12343.07</v>
      </c>
      <c r="F446" s="6" t="n">
        <v>48712.94</v>
      </c>
    </row>
    <row r="447" ht="20" customHeight="1">
      <c r="A447" s="7" t="n">
        <v>45049</v>
      </c>
      <c r="B447" s="8" t="inlineStr">
        <is>
          <t>Invoice</t>
        </is>
      </c>
      <c r="C447" s="8" t="inlineStr">
        <is>
          <t>19924</t>
        </is>
      </c>
      <c r="D447" s="9" t="inlineStr"/>
      <c r="E447" s="10" t="n">
        <v>4087.39</v>
      </c>
      <c r="F447" s="10" t="n">
        <v>52800.33</v>
      </c>
    </row>
    <row r="448" ht="20" customHeight="1">
      <c r="A448" s="3" t="n">
        <v>45055</v>
      </c>
      <c r="B448" s="4" t="inlineStr">
        <is>
          <t>Invoice</t>
        </is>
      </c>
      <c r="C448" s="4" t="inlineStr">
        <is>
          <t>20117</t>
        </is>
      </c>
      <c r="D448" s="5" t="inlineStr"/>
      <c r="E448" s="6" t="n">
        <v>3561.12</v>
      </c>
      <c r="F448" s="6" t="n">
        <v>56361.45</v>
      </c>
    </row>
    <row r="449" ht="20" customHeight="1">
      <c r="A449" s="7" t="n">
        <v>45063</v>
      </c>
      <c r="B449" s="8" t="inlineStr">
        <is>
          <t>Invoice</t>
        </is>
      </c>
      <c r="C449" s="8" t="inlineStr">
        <is>
          <t>20356</t>
        </is>
      </c>
      <c r="D449" s="9" t="inlineStr"/>
      <c r="E449" s="10" t="n">
        <v>3561.12</v>
      </c>
      <c r="F449" s="10" t="n">
        <v>59922.57</v>
      </c>
    </row>
    <row r="450" ht="20" customHeight="1">
      <c r="A450" s="3" t="n">
        <v>45070</v>
      </c>
      <c r="B450" s="4" t="inlineStr">
        <is>
          <t>Invoice</t>
        </is>
      </c>
      <c r="C450" s="4" t="inlineStr">
        <is>
          <t>20630</t>
        </is>
      </c>
      <c r="D450" s="5" t="inlineStr"/>
      <c r="E450" s="6" t="n">
        <v>2597.14</v>
      </c>
      <c r="F450" s="6" t="n">
        <v>62519.71</v>
      </c>
    </row>
    <row r="451" ht="20" customHeight="1">
      <c r="A451" s="7" t="n">
        <v>45076</v>
      </c>
      <c r="B451" s="8" t="inlineStr">
        <is>
          <t>Payment</t>
        </is>
      </c>
      <c r="C451" s="8" t="inlineStr">
        <is>
          <t>00021193</t>
        </is>
      </c>
      <c r="D451" s="9" t="inlineStr"/>
      <c r="E451" s="10" t="n">
        <v>-15409.46</v>
      </c>
      <c r="F451" s="10" t="n">
        <v>47110.25</v>
      </c>
    </row>
    <row r="452" ht="20" customHeight="1">
      <c r="A452" s="3" t="n">
        <v>45077</v>
      </c>
      <c r="B452" s="4" t="inlineStr">
        <is>
          <t>Invoice</t>
        </is>
      </c>
      <c r="C452" s="4" t="inlineStr">
        <is>
          <t>20864</t>
        </is>
      </c>
      <c r="D452" s="5" t="inlineStr"/>
      <c r="E452" s="6" t="n">
        <v>3561.78</v>
      </c>
      <c r="F452" s="6" t="n">
        <v>50672.03</v>
      </c>
    </row>
    <row r="453" ht="20" customHeight="1">
      <c r="A453" s="7" t="n">
        <v>45078</v>
      </c>
      <c r="B453" s="8" t="inlineStr">
        <is>
          <t>Opening Balance</t>
        </is>
      </c>
      <c r="C453" s="8" t="inlineStr"/>
      <c r="D453" s="9" t="inlineStr"/>
      <c r="E453" s="10" t="n"/>
      <c r="F453" s="10" t="n">
        <v>50672.03</v>
      </c>
    </row>
    <row r="454" ht="20" customHeight="1">
      <c r="A454" s="3" t="n">
        <v>45084</v>
      </c>
      <c r="B454" s="4" t="inlineStr">
        <is>
          <t>Invoice</t>
        </is>
      </c>
      <c r="C454" s="4" t="inlineStr">
        <is>
          <t>21098</t>
        </is>
      </c>
      <c r="D454" s="5" t="inlineStr"/>
      <c r="E454" s="6" t="n">
        <v>2436.92</v>
      </c>
      <c r="F454" s="6" t="n">
        <v>53108.95</v>
      </c>
    </row>
    <row r="455" ht="20" customHeight="1">
      <c r="A455" s="7" t="n">
        <v>45091</v>
      </c>
      <c r="B455" s="8" t="inlineStr">
        <is>
          <t>Invoice</t>
        </is>
      </c>
      <c r="C455" s="8" t="inlineStr">
        <is>
          <t>21341</t>
        </is>
      </c>
      <c r="D455" s="9" t="inlineStr"/>
      <c r="E455" s="10" t="n">
        <v>3655.38</v>
      </c>
      <c r="F455" s="10" t="n">
        <v>56764.33</v>
      </c>
    </row>
    <row r="456" ht="20" customHeight="1">
      <c r="A456" s="3" t="n">
        <v>45098</v>
      </c>
      <c r="B456" s="4" t="inlineStr">
        <is>
          <t>Invoice</t>
        </is>
      </c>
      <c r="C456" s="4" t="inlineStr">
        <is>
          <t>21561</t>
        </is>
      </c>
      <c r="D456" s="5" t="inlineStr"/>
      <c r="E456" s="6" t="n">
        <v>3655.38</v>
      </c>
      <c r="F456" s="6" t="n">
        <v>60419.71</v>
      </c>
    </row>
    <row r="457" ht="20" customHeight="1">
      <c r="A457" s="7" t="n">
        <v>45104</v>
      </c>
      <c r="B457" s="8" t="inlineStr">
        <is>
          <t>Invoice</t>
        </is>
      </c>
      <c r="C457" s="8" t="inlineStr">
        <is>
          <t>21756</t>
        </is>
      </c>
      <c r="D457" s="9" t="inlineStr"/>
      <c r="E457" s="10" t="n">
        <v>3655.38</v>
      </c>
      <c r="F457" s="10" t="n">
        <v>64075.09</v>
      </c>
    </row>
    <row r="458" ht="20" customHeight="1">
      <c r="A458" s="3" t="n">
        <v>45108</v>
      </c>
      <c r="B458" s="4" t="inlineStr">
        <is>
          <t>Opening Balance</t>
        </is>
      </c>
      <c r="C458" s="4" t="inlineStr"/>
      <c r="D458" s="5" t="inlineStr"/>
      <c r="E458" s="6" t="n"/>
      <c r="F458" s="6" t="n">
        <v>64075.09</v>
      </c>
    </row>
    <row r="459" ht="20" customHeight="1">
      <c r="A459" s="7" t="n">
        <v>45112</v>
      </c>
      <c r="B459" s="8" t="inlineStr">
        <is>
          <t>Invoice</t>
        </is>
      </c>
      <c r="C459" s="8" t="inlineStr">
        <is>
          <t>22050</t>
        </is>
      </c>
      <c r="D459" s="9" t="inlineStr"/>
      <c r="E459" s="10" t="n">
        <v>3655.38</v>
      </c>
      <c r="F459" s="10" t="n">
        <v>67730.47</v>
      </c>
    </row>
    <row r="460" ht="20" customHeight="1">
      <c r="A460" s="3" t="n">
        <v>45119</v>
      </c>
      <c r="B460" s="4" t="inlineStr">
        <is>
          <t>Invoice</t>
        </is>
      </c>
      <c r="C460" s="4" t="inlineStr">
        <is>
          <t>22337</t>
        </is>
      </c>
      <c r="D460" s="5" t="inlineStr"/>
      <c r="E460" s="6" t="n">
        <v>3281.74</v>
      </c>
      <c r="F460" s="6" t="n">
        <v>71012.21000000001</v>
      </c>
    </row>
    <row r="461" ht="20" customHeight="1">
      <c r="A461" s="7" t="n">
        <v>45126</v>
      </c>
      <c r="B461" s="8" t="inlineStr">
        <is>
          <t>Invoice</t>
        </is>
      </c>
      <c r="C461" s="8" t="inlineStr">
        <is>
          <t>22566</t>
        </is>
      </c>
      <c r="D461" s="9" t="inlineStr"/>
      <c r="E461" s="10" t="n">
        <v>3281.74</v>
      </c>
      <c r="F461" s="10" t="n">
        <v>74293.95</v>
      </c>
    </row>
    <row r="462" ht="20" customHeight="1">
      <c r="A462" s="3" t="n">
        <v>45126</v>
      </c>
      <c r="B462" s="4" t="inlineStr">
        <is>
          <t>Invoice</t>
        </is>
      </c>
      <c r="C462" s="4" t="inlineStr">
        <is>
          <t>22604</t>
        </is>
      </c>
      <c r="D462" s="5" t="inlineStr"/>
      <c r="E462" s="6" t="n">
        <v>410.94</v>
      </c>
      <c r="F462" s="6" t="n">
        <v>74704.89</v>
      </c>
    </row>
    <row r="463" ht="20" customHeight="1">
      <c r="A463" s="7" t="n">
        <v>45127</v>
      </c>
      <c r="B463" s="8" t="inlineStr">
        <is>
          <t>Payment</t>
        </is>
      </c>
      <c r="C463" s="8" t="inlineStr">
        <is>
          <t>00022711</t>
        </is>
      </c>
      <c r="D463" s="9" t="inlineStr"/>
      <c r="E463" s="10" t="n">
        <v>-15140.69</v>
      </c>
      <c r="F463" s="10" t="n">
        <v>59564.2</v>
      </c>
    </row>
    <row r="464" ht="20" customHeight="1">
      <c r="A464" s="3" t="n">
        <v>45133</v>
      </c>
      <c r="B464" s="4" t="inlineStr">
        <is>
          <t>Invoice</t>
        </is>
      </c>
      <c r="C464" s="4" t="inlineStr">
        <is>
          <t>22842</t>
        </is>
      </c>
      <c r="D464" s="5" t="inlineStr"/>
      <c r="E464" s="6" t="n">
        <v>3281.74</v>
      </c>
      <c r="F464" s="6" t="n">
        <v>62845.94</v>
      </c>
    </row>
    <row r="465" ht="20" customHeight="1">
      <c r="A465" s="7" t="n">
        <v>45139</v>
      </c>
      <c r="B465" s="8" t="inlineStr">
        <is>
          <t>Opening Balance</t>
        </is>
      </c>
      <c r="C465" s="8" t="inlineStr"/>
      <c r="D465" s="9" t="inlineStr"/>
      <c r="E465" s="10" t="n"/>
      <c r="F465" s="10" t="n">
        <v>62845.94</v>
      </c>
    </row>
    <row r="466" ht="20" customHeight="1">
      <c r="A466" s="3" t="n">
        <v>45140</v>
      </c>
      <c r="B466" s="4" t="inlineStr">
        <is>
          <t>Invoice</t>
        </is>
      </c>
      <c r="C466" s="4" t="inlineStr">
        <is>
          <t>23098</t>
        </is>
      </c>
      <c r="D466" s="5" t="inlineStr"/>
      <c r="E466" s="6" t="n">
        <v>3280.33</v>
      </c>
      <c r="F466" s="6" t="n">
        <v>66126.27</v>
      </c>
    </row>
    <row r="467" ht="20" customHeight="1">
      <c r="A467" s="7" t="n">
        <v>45147</v>
      </c>
      <c r="B467" s="8" t="inlineStr">
        <is>
          <t>Invoice</t>
        </is>
      </c>
      <c r="C467" s="8" t="inlineStr">
        <is>
          <t>23278</t>
        </is>
      </c>
      <c r="D467" s="9" t="inlineStr"/>
      <c r="E467" s="10" t="n">
        <v>3080.16</v>
      </c>
      <c r="F467" s="10" t="n">
        <v>69206.42999999999</v>
      </c>
    </row>
    <row r="468" ht="20" customHeight="1">
      <c r="A468" s="3" t="n">
        <v>45148</v>
      </c>
      <c r="B468" s="4" t="inlineStr">
        <is>
          <t>Payment</t>
        </is>
      </c>
      <c r="C468" s="4" t="inlineStr">
        <is>
          <t>00023280</t>
        </is>
      </c>
      <c r="D468" s="5" t="inlineStr"/>
      <c r="E468" s="6" t="n">
        <v>-13806.77</v>
      </c>
      <c r="F468" s="6" t="n">
        <v>55399.66</v>
      </c>
    </row>
    <row r="469" ht="20" customHeight="1">
      <c r="A469" s="7" t="n">
        <v>45154</v>
      </c>
      <c r="B469" s="8" t="inlineStr">
        <is>
          <t>Invoice</t>
        </is>
      </c>
      <c r="C469" s="8" t="inlineStr">
        <is>
          <t>23545</t>
        </is>
      </c>
      <c r="D469" s="9" t="inlineStr"/>
      <c r="E469" s="10" t="n">
        <v>3080.16</v>
      </c>
      <c r="F469" s="10" t="n">
        <v>58479.82</v>
      </c>
    </row>
    <row r="470" ht="20" customHeight="1">
      <c r="A470" s="3" t="n">
        <v>45161</v>
      </c>
      <c r="B470" s="4" t="inlineStr">
        <is>
          <t>Invoice</t>
        </is>
      </c>
      <c r="C470" s="4" t="inlineStr">
        <is>
          <t>23732</t>
        </is>
      </c>
      <c r="D470" s="5" t="inlineStr"/>
      <c r="E470" s="6" t="n">
        <v>3080.16</v>
      </c>
      <c r="F470" s="6" t="n">
        <v>61559.98</v>
      </c>
    </row>
    <row r="471" ht="20" customHeight="1">
      <c r="A471" s="7" t="n">
        <v>45168</v>
      </c>
      <c r="B471" s="8" t="inlineStr">
        <is>
          <t>Invoice</t>
        </is>
      </c>
      <c r="C471" s="8" t="inlineStr">
        <is>
          <t>23964</t>
        </is>
      </c>
      <c r="D471" s="9" t="inlineStr"/>
      <c r="E471" s="10" t="n">
        <v>3245.76</v>
      </c>
      <c r="F471" s="10" t="n">
        <v>64805.74</v>
      </c>
    </row>
    <row r="472" ht="20" customHeight="1">
      <c r="A472" s="3" t="n">
        <v>45169</v>
      </c>
      <c r="B472" s="4" t="inlineStr">
        <is>
          <t>Crd Note</t>
        </is>
      </c>
      <c r="C472" s="4" t="inlineStr">
        <is>
          <t>6074</t>
        </is>
      </c>
      <c r="D472" s="5" t="inlineStr"/>
      <c r="E472" s="6" t="n">
        <v>-3245.76</v>
      </c>
      <c r="F472" s="6" t="n">
        <v>61559.98</v>
      </c>
    </row>
    <row r="473" ht="20" customHeight="1">
      <c r="A473" s="7" t="n">
        <v>45170</v>
      </c>
      <c r="B473" s="8" t="inlineStr">
        <is>
          <t>Opening Balance</t>
        </is>
      </c>
      <c r="C473" s="8" t="inlineStr"/>
      <c r="D473" s="9" t="inlineStr"/>
      <c r="E473" s="10" t="n"/>
      <c r="F473" s="10" t="n">
        <v>61559.98</v>
      </c>
    </row>
    <row r="474" ht="20" customHeight="1">
      <c r="A474" s="3" t="n">
        <v>45170</v>
      </c>
      <c r="B474" s="4" t="inlineStr">
        <is>
          <t>Invoice</t>
        </is>
      </c>
      <c r="C474" s="4" t="inlineStr">
        <is>
          <t>24087</t>
        </is>
      </c>
      <c r="D474" s="5" t="inlineStr"/>
      <c r="E474" s="6" t="n">
        <v>2163.84</v>
      </c>
      <c r="F474" s="6" t="n">
        <v>63723.82</v>
      </c>
    </row>
    <row r="475" ht="20" customHeight="1">
      <c r="A475" s="7" t="n">
        <v>45173</v>
      </c>
      <c r="B475" s="8" t="inlineStr">
        <is>
          <t>Payment</t>
        </is>
      </c>
      <c r="C475" s="8" t="inlineStr">
        <is>
          <t>00023977</t>
        </is>
      </c>
      <c r="D475" s="9" t="inlineStr"/>
      <c r="E475" s="10" t="n">
        <v>-16964.84</v>
      </c>
      <c r="F475" s="10" t="n">
        <v>46758.98</v>
      </c>
    </row>
    <row r="476" ht="20" customHeight="1">
      <c r="A476" s="3" t="n">
        <v>45175</v>
      </c>
      <c r="B476" s="4" t="inlineStr">
        <is>
          <t>Invoice</t>
        </is>
      </c>
      <c r="C476" s="4" t="inlineStr">
        <is>
          <t>24245</t>
        </is>
      </c>
      <c r="D476" s="5" t="inlineStr"/>
      <c r="E476" s="6" t="n">
        <v>2352.96</v>
      </c>
      <c r="F476" s="6" t="n">
        <v>49111.94</v>
      </c>
    </row>
    <row r="477" ht="20" customHeight="1">
      <c r="A477" s="7" t="n">
        <v>45183</v>
      </c>
      <c r="B477" s="8" t="inlineStr">
        <is>
          <t>Invoice</t>
        </is>
      </c>
      <c r="C477" s="8" t="inlineStr">
        <is>
          <t>24516</t>
        </is>
      </c>
      <c r="D477" s="9" t="inlineStr"/>
      <c r="E477" s="10" t="n">
        <v>2251.98</v>
      </c>
      <c r="F477" s="10" t="n">
        <v>51363.92</v>
      </c>
    </row>
    <row r="478" ht="20" customHeight="1">
      <c r="A478" s="3" t="n">
        <v>45189</v>
      </c>
      <c r="B478" s="4" t="inlineStr">
        <is>
          <t>Invoice</t>
        </is>
      </c>
      <c r="C478" s="4" t="inlineStr">
        <is>
          <t>24693</t>
        </is>
      </c>
      <c r="D478" s="5" t="inlineStr"/>
      <c r="E478" s="6" t="n">
        <v>2251.98</v>
      </c>
      <c r="F478" s="6" t="n">
        <v>53615.9</v>
      </c>
    </row>
    <row r="479" ht="20" customHeight="1">
      <c r="A479" s="7" t="n">
        <v>45196</v>
      </c>
      <c r="B479" s="8" t="inlineStr">
        <is>
          <t>Invoice</t>
        </is>
      </c>
      <c r="C479" s="8" t="inlineStr">
        <is>
          <t>24907</t>
        </is>
      </c>
      <c r="D479" s="9" t="inlineStr"/>
      <c r="E479" s="10" t="n">
        <v>2251.98</v>
      </c>
      <c r="F479" s="10" t="n">
        <v>55867.88</v>
      </c>
    </row>
    <row r="480" ht="20" customHeight="1">
      <c r="A480" s="3" t="n">
        <v>45200</v>
      </c>
      <c r="B480" s="4" t="inlineStr">
        <is>
          <t>Opening Balance</t>
        </is>
      </c>
      <c r="C480" s="4" t="inlineStr"/>
      <c r="D480" s="5" t="inlineStr"/>
      <c r="E480" s="6" t="n"/>
      <c r="F480" s="6" t="n">
        <v>55867.88</v>
      </c>
    </row>
    <row r="481" ht="20" customHeight="1">
      <c r="A481" s="7" t="n">
        <v>45203</v>
      </c>
      <c r="B481" s="8" t="inlineStr">
        <is>
          <t>Invoice</t>
        </is>
      </c>
      <c r="C481" s="8" t="inlineStr">
        <is>
          <t>25154</t>
        </is>
      </c>
      <c r="D481" s="9" t="inlineStr"/>
      <c r="E481" s="10" t="n">
        <v>2460.3</v>
      </c>
      <c r="F481" s="10" t="n">
        <v>58328.18</v>
      </c>
    </row>
    <row r="482" ht="20" customHeight="1">
      <c r="A482" s="3" t="n">
        <v>45205</v>
      </c>
      <c r="B482" s="4" t="inlineStr">
        <is>
          <t>Invoice</t>
        </is>
      </c>
      <c r="C482" s="4" t="inlineStr">
        <is>
          <t>25251</t>
        </is>
      </c>
      <c r="D482" s="5" t="inlineStr"/>
      <c r="E482" s="6" t="n">
        <v>1230.16</v>
      </c>
      <c r="F482" s="6" t="n">
        <v>59558.34</v>
      </c>
    </row>
    <row r="483" ht="20" customHeight="1">
      <c r="A483" s="7" t="n">
        <v>45212</v>
      </c>
      <c r="B483" s="8" t="inlineStr">
        <is>
          <t>Invoice</t>
        </is>
      </c>
      <c r="C483" s="8" t="inlineStr">
        <is>
          <t>25475</t>
        </is>
      </c>
      <c r="D483" s="9" t="inlineStr"/>
      <c r="E483" s="10" t="n">
        <v>2459.52</v>
      </c>
      <c r="F483" s="10" t="n">
        <v>62017.86</v>
      </c>
    </row>
    <row r="484" ht="20" customHeight="1">
      <c r="A484" s="3" t="n">
        <v>45217</v>
      </c>
      <c r="B484" s="4" t="inlineStr">
        <is>
          <t>Invoice</t>
        </is>
      </c>
      <c r="C484" s="4" t="inlineStr">
        <is>
          <t>25616</t>
        </is>
      </c>
      <c r="D484" s="5" t="inlineStr"/>
      <c r="E484" s="6" t="n">
        <v>3689.28</v>
      </c>
      <c r="F484" s="6" t="n">
        <v>65707.14</v>
      </c>
    </row>
    <row r="485" ht="20" customHeight="1">
      <c r="A485" s="7" t="n">
        <v>45222</v>
      </c>
      <c r="B485" s="8" t="inlineStr">
        <is>
          <t>Payment</t>
        </is>
      </c>
      <c r="C485" s="8" t="inlineStr">
        <is>
          <t>00025394</t>
        </is>
      </c>
      <c r="D485" s="9" t="inlineStr"/>
      <c r="E485" s="10" t="n">
        <v>-13911.54</v>
      </c>
      <c r="F485" s="10" t="n">
        <v>51795.6</v>
      </c>
    </row>
    <row r="486" ht="20" customHeight="1">
      <c r="A486" s="3" t="n">
        <v>45224</v>
      </c>
      <c r="B486" s="4" t="inlineStr">
        <is>
          <t>Invoice</t>
        </is>
      </c>
      <c r="C486" s="4" t="inlineStr">
        <is>
          <t>25852</t>
        </is>
      </c>
      <c r="D486" s="5" t="inlineStr"/>
      <c r="E486" s="6" t="n">
        <v>3689.28</v>
      </c>
      <c r="F486" s="6" t="n">
        <v>55484.88</v>
      </c>
    </row>
    <row r="487" ht="20" customHeight="1">
      <c r="A487" s="7" t="n">
        <v>45231</v>
      </c>
      <c r="B487" s="8" t="inlineStr">
        <is>
          <t>Opening Balance</t>
        </is>
      </c>
      <c r="C487" s="8" t="inlineStr"/>
      <c r="D487" s="9" t="inlineStr"/>
      <c r="E487" s="10" t="n"/>
      <c r="F487" s="10" t="n">
        <v>55484.88</v>
      </c>
    </row>
    <row r="488" ht="20" customHeight="1">
      <c r="A488" s="3" t="n">
        <v>45231</v>
      </c>
      <c r="B488" s="4" t="inlineStr">
        <is>
          <t>Invoice</t>
        </is>
      </c>
      <c r="C488" s="4" t="inlineStr">
        <is>
          <t>26141</t>
        </is>
      </c>
      <c r="D488" s="5" t="inlineStr"/>
      <c r="E488" s="6" t="n">
        <v>3875.04</v>
      </c>
      <c r="F488" s="6" t="n">
        <v>59359.92</v>
      </c>
    </row>
    <row r="489" ht="20" customHeight="1">
      <c r="A489" s="7" t="n">
        <v>45238</v>
      </c>
      <c r="B489" s="8" t="inlineStr">
        <is>
          <t>Invoice</t>
        </is>
      </c>
      <c r="C489" s="8" t="inlineStr">
        <is>
          <t>26403</t>
        </is>
      </c>
      <c r="D489" s="9" t="inlineStr"/>
      <c r="E489" s="10" t="n">
        <v>3875.04</v>
      </c>
      <c r="F489" s="10" t="n">
        <v>63234.96</v>
      </c>
    </row>
    <row r="490" ht="20" customHeight="1">
      <c r="A490" s="3" t="n">
        <v>45252</v>
      </c>
      <c r="B490" s="4" t="inlineStr">
        <is>
          <t>Invoice</t>
        </is>
      </c>
      <c r="C490" s="4" t="inlineStr">
        <is>
          <t>26892</t>
        </is>
      </c>
      <c r="D490" s="5" t="inlineStr"/>
      <c r="E490" s="6" t="n">
        <v>3875.04</v>
      </c>
      <c r="F490" s="6" t="n">
        <v>67110</v>
      </c>
    </row>
    <row r="491" ht="20" customHeight="1">
      <c r="A491" s="7" t="n">
        <v>45258</v>
      </c>
      <c r="B491" s="8" t="inlineStr">
        <is>
          <t>Payment</t>
        </is>
      </c>
      <c r="C491" s="8" t="inlineStr">
        <is>
          <t>00026601</t>
        </is>
      </c>
      <c r="D491" s="9" t="inlineStr"/>
      <c r="E491" s="10" t="n">
        <v>-12520.81</v>
      </c>
      <c r="F491" s="10" t="n">
        <v>54589.19</v>
      </c>
    </row>
    <row r="492" ht="20" customHeight="1">
      <c r="A492" s="3" t="n">
        <v>45260</v>
      </c>
      <c r="B492" s="4" t="inlineStr">
        <is>
          <t>Invoice</t>
        </is>
      </c>
      <c r="C492" s="4" t="inlineStr">
        <is>
          <t>27132</t>
        </is>
      </c>
      <c r="D492" s="5" t="inlineStr"/>
      <c r="E492" s="6" t="n">
        <v>2583.36</v>
      </c>
      <c r="F492" s="6" t="n">
        <v>57172.55</v>
      </c>
    </row>
    <row r="493" ht="20" customHeight="1">
      <c r="A493" s="7" t="n">
        <v>45261</v>
      </c>
      <c r="B493" s="8" t="inlineStr">
        <is>
          <t>Opening Balance</t>
        </is>
      </c>
      <c r="C493" s="8" t="inlineStr"/>
      <c r="D493" s="9" t="inlineStr"/>
      <c r="E493" s="10" t="n"/>
      <c r="F493" s="10" t="n">
        <v>57172.55</v>
      </c>
    </row>
    <row r="494" ht="20" customHeight="1">
      <c r="A494" s="3" t="n">
        <v>45266</v>
      </c>
      <c r="B494" s="4" t="inlineStr">
        <is>
          <t>Invoice</t>
        </is>
      </c>
      <c r="C494" s="4" t="inlineStr">
        <is>
          <t>27384</t>
        </is>
      </c>
      <c r="D494" s="5" t="inlineStr"/>
      <c r="E494" s="6" t="n">
        <v>4037.76</v>
      </c>
      <c r="F494" s="6" t="n">
        <v>61210.31</v>
      </c>
    </row>
    <row r="495" ht="20" customHeight="1">
      <c r="A495" s="7" t="n">
        <v>45273</v>
      </c>
      <c r="B495" s="8" t="inlineStr">
        <is>
          <t>Invoice</t>
        </is>
      </c>
      <c r="C495" s="8" t="inlineStr">
        <is>
          <t>27641</t>
        </is>
      </c>
      <c r="D495" s="9" t="inlineStr"/>
      <c r="E495" s="10" t="n">
        <v>4037.78</v>
      </c>
      <c r="F495" s="10" t="n">
        <v>65248.09</v>
      </c>
    </row>
    <row r="496" ht="20" customHeight="1">
      <c r="A496" s="3" t="n">
        <v>45280</v>
      </c>
      <c r="B496" s="4" t="inlineStr">
        <is>
          <t>Invoice</t>
        </is>
      </c>
      <c r="C496" s="4" t="inlineStr">
        <is>
          <t>27897</t>
        </is>
      </c>
      <c r="D496" s="5" t="inlineStr"/>
      <c r="E496" s="6" t="n">
        <v>4037.78</v>
      </c>
      <c r="F496" s="6" t="n">
        <v>69285.87</v>
      </c>
    </row>
    <row r="497" ht="20" customHeight="1">
      <c r="A497" s="7" t="n">
        <v>45288</v>
      </c>
      <c r="B497" s="8" t="inlineStr">
        <is>
          <t>Payment</t>
        </is>
      </c>
      <c r="C497" s="8" t="inlineStr">
        <is>
          <t>00027468</t>
        </is>
      </c>
      <c r="D497" s="9" t="inlineStr"/>
      <c r="E497" s="10" t="n">
        <v>-24801.28</v>
      </c>
      <c r="F497" s="10" t="n">
        <v>44484.59</v>
      </c>
    </row>
    <row r="498" ht="20" customHeight="1">
      <c r="A498" s="3" t="n">
        <v>45288</v>
      </c>
      <c r="B498" s="4" t="inlineStr">
        <is>
          <t>Invoice</t>
        </is>
      </c>
      <c r="C498" s="4" t="inlineStr">
        <is>
          <t>28136</t>
        </is>
      </c>
      <c r="D498" s="5" t="inlineStr"/>
      <c r="E498" s="6" t="n">
        <v>2691.85</v>
      </c>
      <c r="F498" s="6" t="n">
        <v>47176.44</v>
      </c>
    </row>
    <row r="499" ht="20" customHeight="1">
      <c r="A499" s="7" t="n">
        <v>45288</v>
      </c>
      <c r="B499" s="8" t="inlineStr">
        <is>
          <t>Invoice</t>
        </is>
      </c>
      <c r="C499" s="8" t="inlineStr">
        <is>
          <t>28140</t>
        </is>
      </c>
      <c r="D499" s="9" t="inlineStr"/>
      <c r="E499" s="10" t="n">
        <v>4037.78</v>
      </c>
      <c r="F499" s="10" t="n">
        <v>51214.22</v>
      </c>
    </row>
    <row r="500" ht="20" customHeight="1">
      <c r="A500" s="3" t="n">
        <v>45288</v>
      </c>
      <c r="B500" s="4" t="inlineStr">
        <is>
          <t>Crd Note</t>
        </is>
      </c>
      <c r="C500" s="4" t="inlineStr">
        <is>
          <t>7204</t>
        </is>
      </c>
      <c r="D500" s="5" t="inlineStr"/>
      <c r="E500" s="6" t="n">
        <v>-2691.85</v>
      </c>
      <c r="F500" s="6" t="n">
        <v>48522.37</v>
      </c>
    </row>
    <row r="501" ht="20" customHeight="1">
      <c r="A501" s="7" t="n">
        <v>45292</v>
      </c>
      <c r="B501" s="8" t="inlineStr">
        <is>
          <t>Opening Balance</t>
        </is>
      </c>
      <c r="C501" s="8" t="inlineStr"/>
      <c r="D501" s="9" t="inlineStr"/>
      <c r="E501" s="10" t="n"/>
      <c r="F501" s="10" t="n">
        <v>48522.37</v>
      </c>
    </row>
    <row r="502" ht="20" customHeight="1">
      <c r="A502" s="3" t="n">
        <v>45294</v>
      </c>
      <c r="B502" s="4" t="inlineStr">
        <is>
          <t>Invoice</t>
        </is>
      </c>
      <c r="C502" s="4" t="inlineStr">
        <is>
          <t>28328</t>
        </is>
      </c>
      <c r="D502" s="5" t="inlineStr"/>
      <c r="E502" s="6" t="n">
        <v>2701.46</v>
      </c>
      <c r="F502" s="6" t="n">
        <v>51223.83</v>
      </c>
    </row>
    <row r="503" ht="20" customHeight="1">
      <c r="A503" s="7" t="n">
        <v>45294</v>
      </c>
      <c r="B503" s="8" t="inlineStr">
        <is>
          <t>Invoice</t>
        </is>
      </c>
      <c r="C503" s="8" t="inlineStr">
        <is>
          <t>28330</t>
        </is>
      </c>
      <c r="D503" s="9" t="inlineStr"/>
      <c r="E503" s="10" t="n">
        <v>4052.2</v>
      </c>
      <c r="F503" s="10" t="n">
        <v>55276.03</v>
      </c>
    </row>
    <row r="504" ht="20" customHeight="1">
      <c r="A504" s="3" t="n">
        <v>45294</v>
      </c>
      <c r="B504" s="4" t="inlineStr">
        <is>
          <t>Crd Note</t>
        </is>
      </c>
      <c r="C504" s="4" t="inlineStr">
        <is>
          <t>7247</t>
        </is>
      </c>
      <c r="D504" s="5" t="inlineStr"/>
      <c r="E504" s="6" t="n">
        <v>-2701.46</v>
      </c>
      <c r="F504" s="6" t="n">
        <v>52574.57</v>
      </c>
    </row>
    <row r="505" ht="20" customHeight="1">
      <c r="A505" s="7" t="n">
        <v>45301</v>
      </c>
      <c r="B505" s="8" t="inlineStr">
        <is>
          <t>Invoice</t>
        </is>
      </c>
      <c r="C505" s="8" t="inlineStr">
        <is>
          <t>28565</t>
        </is>
      </c>
      <c r="D505" s="9" t="inlineStr"/>
      <c r="E505" s="10" t="n">
        <v>2701.46</v>
      </c>
      <c r="F505" s="10" t="n">
        <v>55276.03</v>
      </c>
    </row>
    <row r="506" ht="20" customHeight="1">
      <c r="A506" s="3" t="n">
        <v>45308</v>
      </c>
      <c r="B506" s="4" t="inlineStr">
        <is>
          <t>Invoice</t>
        </is>
      </c>
      <c r="C506" s="4" t="inlineStr">
        <is>
          <t>28751</t>
        </is>
      </c>
      <c r="D506" s="5" t="inlineStr"/>
      <c r="E506" s="6" t="n">
        <v>1604</v>
      </c>
      <c r="F506" s="6" t="n">
        <v>56880.03</v>
      </c>
    </row>
    <row r="507" ht="20" customHeight="1">
      <c r="A507" s="7" t="n">
        <v>45315</v>
      </c>
      <c r="B507" s="8" t="inlineStr">
        <is>
          <t>Invoice</t>
        </is>
      </c>
      <c r="C507" s="8" t="inlineStr">
        <is>
          <t>28959</t>
        </is>
      </c>
      <c r="D507" s="9" t="inlineStr"/>
      <c r="E507" s="10" t="n">
        <v>2747.65</v>
      </c>
      <c r="F507" s="10" t="n">
        <v>59627.68</v>
      </c>
    </row>
    <row r="508" ht="20" customHeight="1">
      <c r="A508" s="3" t="n">
        <v>45322</v>
      </c>
      <c r="B508" s="4" t="inlineStr">
        <is>
          <t>Invoice</t>
        </is>
      </c>
      <c r="C508" s="4" t="inlineStr">
        <is>
          <t>29161</t>
        </is>
      </c>
      <c r="D508" s="5" t="inlineStr"/>
      <c r="E508" s="6" t="n">
        <v>4121.47</v>
      </c>
      <c r="F508" s="6" t="n">
        <v>63749.15</v>
      </c>
    </row>
    <row r="509" ht="20" customHeight="1">
      <c r="A509" s="7" t="n">
        <v>45323</v>
      </c>
      <c r="B509" s="8" t="inlineStr">
        <is>
          <t>Opening Balance</t>
        </is>
      </c>
      <c r="C509" s="8" t="inlineStr"/>
      <c r="D509" s="9" t="inlineStr"/>
      <c r="E509" s="10" t="n"/>
      <c r="F509" s="10" t="n">
        <v>63749.15</v>
      </c>
    </row>
    <row r="510" ht="20" customHeight="1">
      <c r="A510" s="3" t="n">
        <v>45329</v>
      </c>
      <c r="B510" s="4" t="inlineStr">
        <is>
          <t>Invoice</t>
        </is>
      </c>
      <c r="C510" s="4" t="inlineStr">
        <is>
          <t>29384</t>
        </is>
      </c>
      <c r="D510" s="5" t="inlineStr"/>
      <c r="E510" s="6" t="n">
        <v>4174.74</v>
      </c>
      <c r="F510" s="6" t="n">
        <v>67923.89</v>
      </c>
    </row>
    <row r="511" ht="20" customHeight="1">
      <c r="A511" s="7" t="n">
        <v>45336</v>
      </c>
      <c r="B511" s="8" t="inlineStr">
        <is>
          <t>Invoice</t>
        </is>
      </c>
      <c r="C511" s="8" t="inlineStr">
        <is>
          <t>29584</t>
        </is>
      </c>
      <c r="D511" s="9" t="inlineStr"/>
      <c r="E511" s="10" t="n">
        <v>2783.16</v>
      </c>
      <c r="F511" s="10" t="n">
        <v>70707.05</v>
      </c>
    </row>
    <row r="512" ht="20" customHeight="1">
      <c r="A512" s="3" t="n">
        <v>45341</v>
      </c>
      <c r="B512" s="4" t="inlineStr">
        <is>
          <t>Payment</t>
        </is>
      </c>
      <c r="C512" s="4" t="inlineStr">
        <is>
          <t>00028893</t>
        </is>
      </c>
      <c r="D512" s="5" t="inlineStr"/>
      <c r="E512" s="6" t="n">
        <v>-14208.48</v>
      </c>
      <c r="F512" s="6" t="n">
        <v>56498.57</v>
      </c>
    </row>
    <row r="513" ht="20" customHeight="1">
      <c r="A513" s="7" t="n">
        <v>45343</v>
      </c>
      <c r="B513" s="8" t="inlineStr">
        <is>
          <t>Invoice</t>
        </is>
      </c>
      <c r="C513" s="8" t="inlineStr">
        <is>
          <t>29763</t>
        </is>
      </c>
      <c r="D513" s="9" t="inlineStr"/>
      <c r="E513" s="10" t="n">
        <v>2783.16</v>
      </c>
      <c r="F513" s="10" t="n">
        <v>59281.73</v>
      </c>
    </row>
    <row r="514" ht="20" customHeight="1">
      <c r="A514" s="3" t="n">
        <v>45351</v>
      </c>
      <c r="B514" s="4" t="inlineStr">
        <is>
          <t>Invoice</t>
        </is>
      </c>
      <c r="C514" s="4" t="inlineStr">
        <is>
          <t>30008</t>
        </is>
      </c>
      <c r="D514" s="5" t="inlineStr"/>
      <c r="E514" s="6" t="n">
        <v>2783.05</v>
      </c>
      <c r="F514" s="6" t="n">
        <v>62064.78</v>
      </c>
    </row>
    <row r="515" ht="20" customHeight="1">
      <c r="A515" s="7" t="n">
        <v>45352</v>
      </c>
      <c r="B515" s="8" t="inlineStr">
        <is>
          <t>Opening Balance</t>
        </is>
      </c>
      <c r="C515" s="8" t="inlineStr"/>
      <c r="D515" s="9" t="inlineStr"/>
      <c r="E515" s="10" t="n"/>
      <c r="F515" s="10" t="n">
        <v>62064.78</v>
      </c>
    </row>
    <row r="516" ht="20" customHeight="1">
      <c r="A516" s="3" t="n">
        <v>45355</v>
      </c>
      <c r="B516" s="4" t="inlineStr">
        <is>
          <t>Invoice</t>
        </is>
      </c>
      <c r="C516" s="4" t="inlineStr">
        <is>
          <t>30147</t>
        </is>
      </c>
      <c r="D516" s="5" t="inlineStr"/>
      <c r="E516" s="6" t="n">
        <v>4169.5</v>
      </c>
      <c r="F516" s="6" t="n">
        <v>66234.28</v>
      </c>
    </row>
    <row r="517" ht="20" customHeight="1">
      <c r="A517" s="7" t="n">
        <v>45365</v>
      </c>
      <c r="B517" s="8" t="inlineStr">
        <is>
          <t>Invoice</t>
        </is>
      </c>
      <c r="C517" s="8" t="inlineStr">
        <is>
          <t>30414</t>
        </is>
      </c>
      <c r="D517" s="9" t="inlineStr"/>
      <c r="E517" s="10" t="n">
        <v>2814.21</v>
      </c>
      <c r="F517" s="10" t="n">
        <v>69048.49000000001</v>
      </c>
    </row>
    <row r="518" ht="20" customHeight="1">
      <c r="A518" s="3" t="n">
        <v>45369</v>
      </c>
      <c r="B518" s="4" t="inlineStr">
        <is>
          <t>Invoice</t>
        </is>
      </c>
      <c r="C518" s="4" t="inlineStr">
        <is>
          <t>30537</t>
        </is>
      </c>
      <c r="D518" s="5" t="inlineStr"/>
      <c r="E518" s="6" t="n">
        <v>2814.21</v>
      </c>
      <c r="F518" s="6" t="n">
        <v>71862.7</v>
      </c>
    </row>
    <row r="519" ht="20" customHeight="1">
      <c r="A519" s="7" t="n">
        <v>45378</v>
      </c>
      <c r="B519" s="8" t="inlineStr">
        <is>
          <t>Invoice</t>
        </is>
      </c>
      <c r="C519" s="8" t="inlineStr">
        <is>
          <t>30806</t>
        </is>
      </c>
      <c r="D519" s="9" t="inlineStr"/>
      <c r="E519" s="10" t="n">
        <v>2814.21</v>
      </c>
      <c r="F519" s="10" t="n">
        <v>74676.91</v>
      </c>
    </row>
    <row r="520" ht="20" customHeight="1">
      <c r="A520" s="3" t="n">
        <v>45383</v>
      </c>
      <c r="B520" s="4" t="inlineStr">
        <is>
          <t>Opening Balance</t>
        </is>
      </c>
      <c r="C520" s="4" t="inlineStr"/>
      <c r="D520" s="5" t="inlineStr"/>
      <c r="E520" s="6" t="n"/>
      <c r="F520" s="6" t="n">
        <v>74676.91</v>
      </c>
    </row>
    <row r="521" ht="20" customHeight="1">
      <c r="A521" s="7" t="n">
        <v>45385</v>
      </c>
      <c r="B521" s="8" t="inlineStr">
        <is>
          <t>Invoice</t>
        </is>
      </c>
      <c r="C521" s="8" t="inlineStr">
        <is>
          <t>30977</t>
        </is>
      </c>
      <c r="D521" s="9" t="inlineStr"/>
      <c r="E521" s="10" t="n">
        <v>2814.21</v>
      </c>
      <c r="F521" s="10" t="n">
        <v>77491.12</v>
      </c>
    </row>
    <row r="522" ht="20" customHeight="1">
      <c r="A522" s="3" t="n">
        <v>45392</v>
      </c>
      <c r="B522" s="4" t="inlineStr">
        <is>
          <t>Invoice</t>
        </is>
      </c>
      <c r="C522" s="4" t="inlineStr">
        <is>
          <t>31201</t>
        </is>
      </c>
      <c r="D522" s="5" t="inlineStr"/>
      <c r="E522" s="6" t="n">
        <v>2798.75</v>
      </c>
      <c r="F522" s="6" t="n">
        <v>80289.87</v>
      </c>
    </row>
    <row r="523" ht="20" customHeight="1">
      <c r="A523" s="7" t="n">
        <v>45399</v>
      </c>
      <c r="B523" s="8" t="inlineStr">
        <is>
          <t>Invoice</t>
        </is>
      </c>
      <c r="C523" s="8" t="inlineStr">
        <is>
          <t>31413</t>
        </is>
      </c>
      <c r="D523" s="9" t="inlineStr"/>
      <c r="E523" s="10" t="n">
        <v>4213.14</v>
      </c>
      <c r="F523" s="10" t="n">
        <v>84503.00999999999</v>
      </c>
    </row>
    <row r="524" ht="20" customHeight="1">
      <c r="A524" s="3" t="n">
        <v>45405</v>
      </c>
      <c r="B524" s="4" t="inlineStr">
        <is>
          <t>Payment</t>
        </is>
      </c>
      <c r="C524" s="4" t="inlineStr">
        <is>
          <t>00030269</t>
        </is>
      </c>
      <c r="D524" s="5" t="inlineStr"/>
      <c r="E524" s="6" t="n">
        <v>-16151.04</v>
      </c>
      <c r="F524" s="6" t="n">
        <v>68351.97</v>
      </c>
    </row>
    <row r="525" ht="20" customHeight="1">
      <c r="A525" s="7" t="n">
        <v>45407</v>
      </c>
      <c r="B525" s="8" t="inlineStr">
        <is>
          <t>Invoice</t>
        </is>
      </c>
      <c r="C525" s="8" t="inlineStr">
        <is>
          <t>31640</t>
        </is>
      </c>
      <c r="D525" s="9" t="inlineStr"/>
      <c r="E525" s="10" t="n">
        <v>2808.76</v>
      </c>
      <c r="F525" s="10" t="n">
        <v>71160.73</v>
      </c>
    </row>
    <row r="526" ht="20" customHeight="1">
      <c r="A526" s="3" t="n">
        <v>45413</v>
      </c>
      <c r="B526" s="4" t="inlineStr">
        <is>
          <t>Opening Balance</t>
        </is>
      </c>
      <c r="C526" s="4" t="inlineStr"/>
      <c r="D526" s="5" t="inlineStr"/>
      <c r="E526" s="6" t="n"/>
      <c r="F526" s="6" t="n">
        <v>71160.73</v>
      </c>
    </row>
    <row r="527" ht="20" customHeight="1">
      <c r="A527" s="7" t="n">
        <v>45413</v>
      </c>
      <c r="B527" s="8" t="inlineStr">
        <is>
          <t>Invoice</t>
        </is>
      </c>
      <c r="C527" s="8" t="inlineStr">
        <is>
          <t>31801</t>
        </is>
      </c>
      <c r="D527" s="9" t="inlineStr"/>
      <c r="E527" s="10" t="n">
        <v>4213.14</v>
      </c>
      <c r="F527" s="10" t="n">
        <v>75373.87</v>
      </c>
    </row>
    <row r="528" ht="20" customHeight="1">
      <c r="A528" s="3" t="n">
        <v>45420</v>
      </c>
      <c r="B528" s="4" t="inlineStr">
        <is>
          <t>Invoice</t>
        </is>
      </c>
      <c r="C528" s="4" t="inlineStr">
        <is>
          <t>31997</t>
        </is>
      </c>
      <c r="D528" s="5" t="inlineStr"/>
      <c r="E528" s="6" t="n">
        <v>4213.14</v>
      </c>
      <c r="F528" s="6" t="n">
        <v>79587.00999999999</v>
      </c>
    </row>
    <row r="529" ht="20" customHeight="1">
      <c r="A529" s="7" t="n">
        <v>45428</v>
      </c>
      <c r="B529" s="8" t="inlineStr">
        <is>
          <t>Invoice</t>
        </is>
      </c>
      <c r="C529" s="8" t="inlineStr">
        <is>
          <t>32219</t>
        </is>
      </c>
      <c r="D529" s="9" t="inlineStr"/>
      <c r="E529" s="10" t="n">
        <v>2808.76</v>
      </c>
      <c r="F529" s="10" t="n">
        <v>82395.77</v>
      </c>
    </row>
    <row r="530" ht="20" customHeight="1">
      <c r="A530" s="3" t="n">
        <v>45435</v>
      </c>
      <c r="B530" s="4" t="inlineStr">
        <is>
          <t>Invoice</t>
        </is>
      </c>
      <c r="C530" s="4" t="inlineStr">
        <is>
          <t>32409</t>
        </is>
      </c>
      <c r="D530" s="5" t="inlineStr"/>
      <c r="E530" s="6" t="n">
        <v>2808.76</v>
      </c>
      <c r="F530" s="6" t="n">
        <v>85204.53</v>
      </c>
    </row>
    <row r="531" ht="20" customHeight="1">
      <c r="A531" s="7" t="n">
        <v>45438</v>
      </c>
      <c r="B531" s="8" t="inlineStr">
        <is>
          <t>Payment</t>
        </is>
      </c>
      <c r="C531" s="8" t="inlineStr">
        <is>
          <t>00030891</t>
        </is>
      </c>
      <c r="D531" s="9" t="inlineStr"/>
      <c r="E531" s="10" t="n">
        <v>-11105.31</v>
      </c>
      <c r="F531" s="10" t="n">
        <v>74099.22</v>
      </c>
    </row>
    <row r="532" ht="20" customHeight="1">
      <c r="A532" s="3" t="n">
        <v>45439</v>
      </c>
      <c r="B532" s="4" t="inlineStr">
        <is>
          <t>Invoice</t>
        </is>
      </c>
      <c r="C532" s="4" t="inlineStr">
        <is>
          <t>32531</t>
        </is>
      </c>
      <c r="D532" s="5" t="inlineStr"/>
      <c r="E532" s="6" t="n">
        <v>2808.76</v>
      </c>
      <c r="F532" s="6" t="n">
        <v>76907.98</v>
      </c>
    </row>
    <row r="533" ht="20" customHeight="1">
      <c r="A533" s="7" t="n">
        <v>45442</v>
      </c>
      <c r="B533" s="8" t="inlineStr">
        <is>
          <t>Invoice</t>
        </is>
      </c>
      <c r="C533" s="8" t="inlineStr">
        <is>
          <t>32614</t>
        </is>
      </c>
      <c r="D533" s="9" t="inlineStr"/>
      <c r="E533" s="10" t="n">
        <v>1404.38</v>
      </c>
      <c r="F533" s="10" t="n">
        <v>78312.36</v>
      </c>
    </row>
    <row r="534" ht="20" customHeight="1">
      <c r="A534" s="3" t="n">
        <v>45444</v>
      </c>
      <c r="B534" s="4" t="inlineStr">
        <is>
          <t>Opening Balance</t>
        </is>
      </c>
      <c r="C534" s="4" t="inlineStr"/>
      <c r="D534" s="5" t="inlineStr"/>
      <c r="E534" s="6" t="n"/>
      <c r="F534" s="6" t="n">
        <v>78312.36</v>
      </c>
    </row>
    <row r="535" ht="20" customHeight="1">
      <c r="A535" s="7" t="n">
        <v>45448</v>
      </c>
      <c r="B535" s="8" t="inlineStr">
        <is>
          <t>Invoice</t>
        </is>
      </c>
      <c r="C535" s="8" t="inlineStr">
        <is>
          <t>32787</t>
        </is>
      </c>
      <c r="D535" s="9" t="inlineStr"/>
      <c r="E535" s="10" t="n">
        <v>2808.76</v>
      </c>
      <c r="F535" s="10" t="n">
        <v>81121.12</v>
      </c>
    </row>
    <row r="536" ht="20" customHeight="1">
      <c r="A536" s="3" t="n">
        <v>45452</v>
      </c>
      <c r="B536" s="4" t="inlineStr">
        <is>
          <t>Payment</t>
        </is>
      </c>
      <c r="C536" s="4" t="inlineStr">
        <is>
          <t>00031179</t>
        </is>
      </c>
      <c r="D536" s="5" t="inlineStr"/>
      <c r="E536" s="6" t="n">
        <v>-13862.03</v>
      </c>
      <c r="F536" s="6" t="n">
        <v>67259.09</v>
      </c>
    </row>
    <row r="537" ht="20" customHeight="1">
      <c r="A537" s="7" t="n">
        <v>45453</v>
      </c>
      <c r="B537" s="8" t="inlineStr">
        <is>
          <t>Invoice</t>
        </is>
      </c>
      <c r="C537" s="8" t="inlineStr">
        <is>
          <t>32976</t>
        </is>
      </c>
      <c r="D537" s="9" t="inlineStr"/>
      <c r="E537" s="10" t="n">
        <v>4141.14</v>
      </c>
      <c r="F537" s="10" t="n">
        <v>71400.23</v>
      </c>
    </row>
    <row r="538" ht="20" customHeight="1">
      <c r="A538" s="3" t="n">
        <v>45462</v>
      </c>
      <c r="B538" s="4" t="inlineStr">
        <is>
          <t>Invoice</t>
        </is>
      </c>
      <c r="C538" s="4" t="inlineStr">
        <is>
          <t>33272</t>
        </is>
      </c>
      <c r="D538" s="5" t="inlineStr"/>
      <c r="E538" s="6" t="n">
        <v>4141.14</v>
      </c>
      <c r="F538" s="6" t="n">
        <v>75541.37</v>
      </c>
    </row>
    <row r="539" ht="20" customHeight="1">
      <c r="A539" s="7" t="n">
        <v>45469</v>
      </c>
      <c r="B539" s="8" t="inlineStr">
        <is>
          <t>Invoice</t>
        </is>
      </c>
      <c r="C539" s="8" t="inlineStr">
        <is>
          <t>33533</t>
        </is>
      </c>
      <c r="D539" s="9" t="inlineStr"/>
      <c r="E539" s="10" t="n">
        <v>4141.14</v>
      </c>
      <c r="F539" s="10" t="n">
        <v>79682.50999999999</v>
      </c>
    </row>
    <row r="540" ht="20" customHeight="1">
      <c r="A540" s="3" t="n">
        <v>45474</v>
      </c>
      <c r="B540" s="4" t="inlineStr">
        <is>
          <t>Opening Balance</t>
        </is>
      </c>
      <c r="C540" s="4" t="inlineStr"/>
      <c r="D540" s="5" t="inlineStr"/>
      <c r="E540" s="6" t="n"/>
      <c r="F540" s="6" t="n">
        <v>79682.50999999999</v>
      </c>
    </row>
    <row r="541" ht="20" customHeight="1">
      <c r="A541" s="7" t="n">
        <v>45476</v>
      </c>
      <c r="B541" s="8" t="inlineStr">
        <is>
          <t>Invoice</t>
        </is>
      </c>
      <c r="C541" s="8" t="inlineStr">
        <is>
          <t>33806</t>
        </is>
      </c>
      <c r="D541" s="9" t="inlineStr"/>
      <c r="E541" s="10" t="n">
        <v>4141.14</v>
      </c>
      <c r="F541" s="10" t="n">
        <v>83823.64999999999</v>
      </c>
    </row>
    <row r="542" ht="20" customHeight="1">
      <c r="A542" s="3" t="n">
        <v>45476</v>
      </c>
      <c r="B542" s="4" t="inlineStr">
        <is>
          <t>Invoice</t>
        </is>
      </c>
      <c r="C542" s="4" t="inlineStr">
        <is>
          <t>33830</t>
        </is>
      </c>
      <c r="D542" s="5" t="inlineStr"/>
      <c r="E542" s="6" t="n">
        <v>1051.83</v>
      </c>
      <c r="F542" s="6" t="n">
        <v>84875.48</v>
      </c>
    </row>
    <row r="543" ht="20" customHeight="1">
      <c r="A543" s="7" t="n">
        <v>45476</v>
      </c>
      <c r="B543" s="8" t="inlineStr">
        <is>
          <t>Crd Note</t>
        </is>
      </c>
      <c r="C543" s="8" t="inlineStr">
        <is>
          <t>12313</t>
        </is>
      </c>
      <c r="D543" s="9" t="inlineStr"/>
      <c r="E543" s="10" t="n">
        <v>-1051.83</v>
      </c>
      <c r="F543" s="10" t="n">
        <v>83823.64999999999</v>
      </c>
    </row>
    <row r="544" ht="20" customHeight="1">
      <c r="A544" s="3" t="n">
        <v>45481</v>
      </c>
      <c r="B544" s="4" t="inlineStr">
        <is>
          <t>Payment</t>
        </is>
      </c>
      <c r="C544" s="4" t="inlineStr">
        <is>
          <t>00031792</t>
        </is>
      </c>
      <c r="D544" s="5" t="inlineStr"/>
      <c r="E544" s="6" t="n">
        <v>-15395.18</v>
      </c>
      <c r="F544" s="6" t="n">
        <v>68428.47</v>
      </c>
    </row>
    <row r="545" ht="20" customHeight="1">
      <c r="A545" s="7" t="n">
        <v>45483</v>
      </c>
      <c r="B545" s="8" t="inlineStr">
        <is>
          <t>Invoice</t>
        </is>
      </c>
      <c r="C545" s="8" t="inlineStr">
        <is>
          <t>34098</t>
        </is>
      </c>
      <c r="D545" s="9" t="inlineStr"/>
      <c r="E545" s="10" t="n">
        <v>4141.14</v>
      </c>
      <c r="F545" s="10" t="n">
        <v>72569.61</v>
      </c>
    </row>
    <row r="546" ht="20" customHeight="1">
      <c r="A546" s="3" t="n">
        <v>45490</v>
      </c>
      <c r="B546" s="4" t="inlineStr">
        <is>
          <t>Invoice</t>
        </is>
      </c>
      <c r="C546" s="4" t="inlineStr">
        <is>
          <t>34326</t>
        </is>
      </c>
      <c r="D546" s="5" t="inlineStr"/>
      <c r="E546" s="6" t="n">
        <v>1380.38</v>
      </c>
      <c r="F546" s="6" t="n">
        <v>73949.99000000001</v>
      </c>
    </row>
    <row r="547" ht="20" customHeight="1">
      <c r="A547" s="7" t="n">
        <v>45491</v>
      </c>
      <c r="B547" s="8" t="inlineStr">
        <is>
          <t>Invoice</t>
        </is>
      </c>
      <c r="C547" s="8" t="inlineStr">
        <is>
          <t>34383</t>
        </is>
      </c>
      <c r="D547" s="9" t="inlineStr"/>
      <c r="E547" s="10" t="n">
        <v>3019.58</v>
      </c>
      <c r="F547" s="10" t="n">
        <v>76969.57000000001</v>
      </c>
    </row>
    <row r="548" ht="20" customHeight="1">
      <c r="A548" s="3" t="n">
        <v>45498</v>
      </c>
      <c r="B548" s="4" t="inlineStr">
        <is>
          <t>Invoice</t>
        </is>
      </c>
      <c r="C548" s="4" t="inlineStr">
        <is>
          <t>34614</t>
        </is>
      </c>
      <c r="D548" s="5" t="inlineStr"/>
      <c r="E548" s="6" t="n">
        <v>2760.76</v>
      </c>
      <c r="F548" s="6" t="n">
        <v>79730.33</v>
      </c>
    </row>
    <row r="549" ht="20" customHeight="1">
      <c r="A549" s="7" t="n">
        <v>45505</v>
      </c>
      <c r="B549" s="8" t="inlineStr">
        <is>
          <t>Opening Balance</t>
        </is>
      </c>
      <c r="C549" s="8" t="inlineStr"/>
      <c r="D549" s="9" t="inlineStr"/>
      <c r="E549" s="10" t="n"/>
      <c r="F549" s="10" t="n">
        <v>79730.33</v>
      </c>
    </row>
    <row r="550" ht="20" customHeight="1">
      <c r="A550" s="3" t="n">
        <v>45505</v>
      </c>
      <c r="B550" s="4" t="inlineStr">
        <is>
          <t>Invoice</t>
        </is>
      </c>
      <c r="C550" s="4" t="inlineStr">
        <is>
          <t>34849</t>
        </is>
      </c>
      <c r="D550" s="5" t="inlineStr"/>
      <c r="E550" s="6" t="n">
        <v>2760.76</v>
      </c>
      <c r="F550" s="6" t="n">
        <v>82491.09</v>
      </c>
    </row>
    <row r="551" ht="20" customHeight="1">
      <c r="A551" s="7" t="n">
        <v>45511</v>
      </c>
      <c r="B551" s="8" t="inlineStr">
        <is>
          <t>Invoice</t>
        </is>
      </c>
      <c r="C551" s="8" t="inlineStr">
        <is>
          <t>35094</t>
        </is>
      </c>
      <c r="D551" s="9" t="inlineStr"/>
      <c r="E551" s="10" t="n">
        <v>4141.14</v>
      </c>
      <c r="F551" s="10" t="n">
        <v>86632.23</v>
      </c>
    </row>
    <row r="552" ht="20" customHeight="1">
      <c r="A552" s="3" t="n">
        <v>45518</v>
      </c>
      <c r="B552" s="4" t="inlineStr">
        <is>
          <t>Invoice</t>
        </is>
      </c>
      <c r="C552" s="4" t="inlineStr">
        <is>
          <t>35297</t>
        </is>
      </c>
      <c r="D552" s="5" t="inlineStr"/>
      <c r="E552" s="6" t="n">
        <v>4141.14</v>
      </c>
      <c r="F552" s="6" t="n">
        <v>90773.37</v>
      </c>
    </row>
    <row r="553" ht="20" customHeight="1">
      <c r="A553" s="7" t="n">
        <v>45526</v>
      </c>
      <c r="B553" s="8" t="inlineStr">
        <is>
          <t>Payment</t>
        </is>
      </c>
      <c r="C553" s="8" t="inlineStr">
        <is>
          <t>00032896</t>
        </is>
      </c>
      <c r="D553" s="9" t="inlineStr"/>
      <c r="E553" s="10" t="n">
        <v>-17634.86</v>
      </c>
      <c r="F553" s="10" t="n">
        <v>73138.50999999999</v>
      </c>
    </row>
    <row r="554" ht="20" customHeight="1">
      <c r="A554" s="3" t="n">
        <v>45526</v>
      </c>
      <c r="B554" s="4" t="inlineStr">
        <is>
          <t>Invoice</t>
        </is>
      </c>
      <c r="C554" s="4" t="inlineStr">
        <is>
          <t>35522</t>
        </is>
      </c>
      <c r="D554" s="5" t="inlineStr"/>
      <c r="E554" s="6" t="n">
        <v>1380.38</v>
      </c>
      <c r="F554" s="6" t="n">
        <v>74518.89</v>
      </c>
    </row>
    <row r="555" ht="20" customHeight="1">
      <c r="A555" s="7" t="n">
        <v>45533</v>
      </c>
      <c r="B555" s="8" t="inlineStr">
        <is>
          <t>Invoice</t>
        </is>
      </c>
      <c r="C555" s="8" t="inlineStr">
        <is>
          <t>35749</t>
        </is>
      </c>
      <c r="D555" s="9" t="inlineStr"/>
      <c r="E555" s="10" t="n">
        <v>2760.76</v>
      </c>
      <c r="F555" s="10" t="n">
        <v>77279.64999999999</v>
      </c>
    </row>
    <row r="556" ht="20" customHeight="1">
      <c r="A556" s="3" t="n">
        <v>45536</v>
      </c>
      <c r="B556" s="4" t="inlineStr">
        <is>
          <t>Opening Balance</t>
        </is>
      </c>
      <c r="C556" s="4" t="inlineStr"/>
      <c r="D556" s="5" t="inlineStr"/>
      <c r="E556" s="6" t="n"/>
      <c r="F556" s="6" t="n">
        <v>77279.64999999999</v>
      </c>
    </row>
    <row r="557" ht="20" customHeight="1">
      <c r="A557" s="7" t="n">
        <v>45539</v>
      </c>
      <c r="B557" s="8" t="inlineStr">
        <is>
          <t>Invoice</t>
        </is>
      </c>
      <c r="C557" s="8" t="inlineStr">
        <is>
          <t>35961</t>
        </is>
      </c>
      <c r="D557" s="9" t="inlineStr"/>
      <c r="E557" s="10" t="n">
        <v>1380.38</v>
      </c>
      <c r="F557" s="10" t="n">
        <v>78660.03</v>
      </c>
    </row>
    <row r="558" ht="20" customHeight="1">
      <c r="A558" s="3" t="n">
        <v>45540</v>
      </c>
      <c r="B558" s="4" t="inlineStr">
        <is>
          <t>Invoice</t>
        </is>
      </c>
      <c r="C558" s="4" t="inlineStr">
        <is>
          <t>35990</t>
        </is>
      </c>
      <c r="D558" s="5" t="inlineStr"/>
      <c r="E558" s="6" t="n">
        <v>2760.76</v>
      </c>
      <c r="F558" s="6" t="n">
        <v>81420.78999999999</v>
      </c>
    </row>
    <row r="559" ht="20" customHeight="1">
      <c r="A559" s="7" t="n">
        <v>45546</v>
      </c>
      <c r="B559" s="8" t="inlineStr">
        <is>
          <t>Invoice</t>
        </is>
      </c>
      <c r="C559" s="8" t="inlineStr">
        <is>
          <t>36191</t>
        </is>
      </c>
      <c r="D559" s="9" t="inlineStr"/>
      <c r="E559" s="10" t="n">
        <v>4358.65</v>
      </c>
      <c r="F559" s="10" t="n">
        <v>85779.44</v>
      </c>
    </row>
    <row r="560" ht="20" customHeight="1">
      <c r="A560" s="3" t="n">
        <v>45552</v>
      </c>
      <c r="B560" s="4" t="inlineStr">
        <is>
          <t>Invoice</t>
        </is>
      </c>
      <c r="C560" s="4" t="inlineStr">
        <is>
          <t>36395</t>
        </is>
      </c>
      <c r="D560" s="5" t="inlineStr"/>
      <c r="E560" s="6" t="n">
        <v>4102.26</v>
      </c>
      <c r="F560" s="6" t="n">
        <v>89881.7</v>
      </c>
    </row>
    <row r="561" ht="20" customHeight="1">
      <c r="A561" s="7" t="n">
        <v>45560</v>
      </c>
      <c r="B561" s="8" t="inlineStr">
        <is>
          <t>Invoice</t>
        </is>
      </c>
      <c r="C561" s="8" t="inlineStr">
        <is>
          <t>36680</t>
        </is>
      </c>
      <c r="D561" s="9" t="inlineStr"/>
      <c r="E561" s="10" t="n">
        <v>2734.84</v>
      </c>
      <c r="F561" s="10" t="n">
        <v>92616.53999999999</v>
      </c>
    </row>
    <row r="562" ht="20" customHeight="1">
      <c r="A562" s="3" t="n">
        <v>45564</v>
      </c>
      <c r="B562" s="4" t="inlineStr">
        <is>
          <t>Payment</t>
        </is>
      </c>
      <c r="C562" s="4" t="inlineStr">
        <is>
          <t>00033810</t>
        </is>
      </c>
      <c r="D562" s="5" t="inlineStr"/>
      <c r="E562" s="6" t="n">
        <v>-20232.18</v>
      </c>
      <c r="F562" s="6" t="n">
        <v>72384.36</v>
      </c>
    </row>
    <row r="563" ht="20" customHeight="1">
      <c r="A563" s="7" t="n">
        <v>45566</v>
      </c>
      <c r="B563" s="8" t="inlineStr">
        <is>
          <t>Opening Balance</t>
        </is>
      </c>
      <c r="C563" s="8" t="inlineStr"/>
      <c r="D563" s="9" t="inlineStr"/>
      <c r="E563" s="10" t="n"/>
      <c r="F563" s="10" t="n">
        <v>72384.36</v>
      </c>
    </row>
    <row r="564" ht="20" customHeight="1">
      <c r="A564" s="3" t="n">
        <v>45567</v>
      </c>
      <c r="B564" s="4" t="inlineStr">
        <is>
          <t>Invoice</t>
        </is>
      </c>
      <c r="C564" s="4" t="inlineStr">
        <is>
          <t>36945</t>
        </is>
      </c>
      <c r="D564" s="5" t="inlineStr"/>
      <c r="E564" s="6" t="n">
        <v>2394.34</v>
      </c>
      <c r="F564" s="6" t="n">
        <v>74778.7</v>
      </c>
    </row>
    <row r="565" ht="20" customHeight="1">
      <c r="A565" s="7" t="n">
        <v>45569</v>
      </c>
      <c r="B565" s="8" t="inlineStr">
        <is>
          <t>Invoice</t>
        </is>
      </c>
      <c r="C565" s="8" t="inlineStr">
        <is>
          <t>37020</t>
        </is>
      </c>
      <c r="D565" s="9" t="inlineStr"/>
      <c r="E565" s="10" t="n">
        <v>2753.48</v>
      </c>
      <c r="F565" s="10" t="n">
        <v>77532.17999999999</v>
      </c>
    </row>
    <row r="566" ht="20" customHeight="1">
      <c r="A566" s="3" t="n">
        <v>45569</v>
      </c>
      <c r="B566" s="4" t="inlineStr">
        <is>
          <t>Crd Note</t>
        </is>
      </c>
      <c r="C566" s="4" t="inlineStr">
        <is>
          <t>10648</t>
        </is>
      </c>
      <c r="D566" s="5" t="inlineStr"/>
      <c r="E566" s="6" t="n">
        <v>-2394.34</v>
      </c>
      <c r="F566" s="6" t="n">
        <v>75137.84</v>
      </c>
    </row>
    <row r="567" ht="20" customHeight="1">
      <c r="A567" s="7" t="n">
        <v>45575</v>
      </c>
      <c r="B567" s="8" t="inlineStr">
        <is>
          <t>Invoice</t>
        </is>
      </c>
      <c r="C567" s="8" t="inlineStr">
        <is>
          <t>37216</t>
        </is>
      </c>
      <c r="D567" s="9" t="inlineStr"/>
      <c r="E567" s="10" t="n">
        <v>2753.49</v>
      </c>
      <c r="F567" s="10" t="n">
        <v>77891.33</v>
      </c>
    </row>
    <row r="568" ht="20" customHeight="1">
      <c r="A568" s="3" t="n">
        <v>45581</v>
      </c>
      <c r="B568" s="4" t="inlineStr">
        <is>
          <t>Invoice</t>
        </is>
      </c>
      <c r="C568" s="4" t="inlineStr">
        <is>
          <t>37363</t>
        </is>
      </c>
      <c r="D568" s="5" t="inlineStr"/>
      <c r="E568" s="6" t="n">
        <v>2753.49</v>
      </c>
      <c r="F568" s="6" t="n">
        <v>80644.82000000001</v>
      </c>
    </row>
    <row r="569" ht="20" customHeight="1">
      <c r="A569" s="7" t="n">
        <v>45589</v>
      </c>
      <c r="B569" s="8" t="inlineStr">
        <is>
          <t>Invoice</t>
        </is>
      </c>
      <c r="C569" s="8" t="inlineStr">
        <is>
          <t>37619</t>
        </is>
      </c>
      <c r="D569" s="9" t="inlineStr"/>
      <c r="E569" s="10" t="n">
        <v>3011.63</v>
      </c>
      <c r="F569" s="10" t="n">
        <v>83656.45</v>
      </c>
    </row>
    <row r="570" ht="20" customHeight="1">
      <c r="A570" s="3" t="n">
        <v>45592</v>
      </c>
      <c r="B570" s="4" t="inlineStr">
        <is>
          <t>Payment</t>
        </is>
      </c>
      <c r="C570" s="4" t="inlineStr">
        <is>
          <t>00034425</t>
        </is>
      </c>
      <c r="D570" s="5" t="inlineStr"/>
      <c r="E570" s="6" t="n">
        <v>-20443</v>
      </c>
      <c r="F570" s="6" t="n">
        <v>63213.45</v>
      </c>
    </row>
    <row r="571" ht="20" customHeight="1">
      <c r="A571" s="7" t="n">
        <v>45595</v>
      </c>
      <c r="B571" s="8" t="inlineStr">
        <is>
          <t>Invoice</t>
        </is>
      </c>
      <c r="C571" s="8" t="inlineStr">
        <is>
          <t>37799</t>
        </is>
      </c>
      <c r="D571" s="9" t="inlineStr"/>
      <c r="E571" s="10" t="n">
        <v>2753.49</v>
      </c>
      <c r="F571" s="10" t="n">
        <v>65966.94</v>
      </c>
    </row>
    <row r="572" ht="20" customHeight="1">
      <c r="A572" s="3" t="n">
        <v>45597</v>
      </c>
      <c r="B572" s="4" t="inlineStr">
        <is>
          <t>Opening Balance</t>
        </is>
      </c>
      <c r="C572" s="4" t="inlineStr"/>
      <c r="D572" s="5" t="inlineStr"/>
      <c r="E572" s="6" t="n"/>
      <c r="F572" s="6" t="n">
        <v>65966.94</v>
      </c>
    </row>
    <row r="573" ht="20" customHeight="1">
      <c r="A573" s="7" t="n">
        <v>45602</v>
      </c>
      <c r="B573" s="8" t="inlineStr">
        <is>
          <t>Invoice</t>
        </is>
      </c>
      <c r="C573" s="8" t="inlineStr">
        <is>
          <t>38040</t>
        </is>
      </c>
      <c r="D573" s="9" t="inlineStr"/>
      <c r="E573" s="10" t="n">
        <v>4174.95</v>
      </c>
      <c r="F573" s="10" t="n">
        <v>70141.89</v>
      </c>
    </row>
    <row r="574" ht="20" customHeight="1">
      <c r="A574" s="3" t="n">
        <v>45609</v>
      </c>
      <c r="B574" s="4" t="inlineStr">
        <is>
          <t>Invoice</t>
        </is>
      </c>
      <c r="C574" s="4" t="inlineStr">
        <is>
          <t>38266</t>
        </is>
      </c>
      <c r="D574" s="5" t="inlineStr"/>
      <c r="E574" s="6" t="n">
        <v>2783.3</v>
      </c>
      <c r="F574" s="6" t="n">
        <v>72925.19</v>
      </c>
    </row>
    <row r="575" ht="20" customHeight="1">
      <c r="A575" s="7" t="n">
        <v>45616</v>
      </c>
      <c r="B575" s="8" t="inlineStr">
        <is>
          <t>Invoice</t>
        </is>
      </c>
      <c r="C575" s="8" t="inlineStr">
        <is>
          <t>38456</t>
        </is>
      </c>
      <c r="D575" s="9" t="inlineStr"/>
      <c r="E575" s="10" t="n">
        <v>2783.3</v>
      </c>
      <c r="F575" s="10" t="n">
        <v>75708.49000000001</v>
      </c>
    </row>
    <row r="576" ht="20" customHeight="1">
      <c r="A576" s="3" t="n">
        <v>45624</v>
      </c>
      <c r="B576" s="4" t="inlineStr">
        <is>
          <t>Invoice</t>
        </is>
      </c>
      <c r="C576" s="4" t="inlineStr">
        <is>
          <t>38664</t>
        </is>
      </c>
      <c r="D576" s="5" t="inlineStr"/>
      <c r="E576" s="6" t="n">
        <v>2783.3</v>
      </c>
      <c r="F576" s="6" t="n">
        <v>78491.78999999999</v>
      </c>
    </row>
    <row r="577" ht="20" customHeight="1">
      <c r="A577" s="7" t="n">
        <v>45627</v>
      </c>
      <c r="B577" s="8" t="inlineStr">
        <is>
          <t>Opening Balance</t>
        </is>
      </c>
      <c r="C577" s="8" t="inlineStr"/>
      <c r="D577" s="9" t="inlineStr"/>
      <c r="E577" s="10" t="n"/>
      <c r="F577" s="10" t="n">
        <v>78491.78999999999</v>
      </c>
    </row>
    <row r="578" ht="20" customHeight="1">
      <c r="A578" s="3" t="n">
        <v>45629</v>
      </c>
      <c r="B578" s="4" t="inlineStr">
        <is>
          <t>Payment</t>
        </is>
      </c>
      <c r="C578" s="4" t="inlineStr">
        <is>
          <t>00035270</t>
        </is>
      </c>
      <c r="D578" s="5" t="inlineStr"/>
      <c r="E578" s="6" t="n">
        <v>-18441.12</v>
      </c>
      <c r="F578" s="6" t="n">
        <v>60050.67</v>
      </c>
    </row>
    <row r="579" ht="20" customHeight="1">
      <c r="A579" s="7" t="n">
        <v>45629</v>
      </c>
      <c r="B579" s="8" t="inlineStr">
        <is>
          <t>Invoice</t>
        </is>
      </c>
      <c r="C579" s="8" t="inlineStr">
        <is>
          <t>38820</t>
        </is>
      </c>
      <c r="D579" s="9" t="inlineStr"/>
      <c r="E579" s="10" t="n">
        <v>4174.95</v>
      </c>
      <c r="F579" s="10" t="n">
        <v>64225.62</v>
      </c>
    </row>
    <row r="580" ht="20" customHeight="1">
      <c r="A580" s="3" t="n">
        <v>45637</v>
      </c>
      <c r="B580" s="4" t="inlineStr">
        <is>
          <t>Invoice</t>
        </is>
      </c>
      <c r="C580" s="4" t="inlineStr">
        <is>
          <t>39008</t>
        </is>
      </c>
      <c r="D580" s="5" t="inlineStr"/>
      <c r="E580" s="6" t="n">
        <v>4365.63</v>
      </c>
      <c r="F580" s="6" t="n">
        <v>68591.25</v>
      </c>
    </row>
    <row r="581" ht="20" customHeight="1">
      <c r="A581" s="7" t="n">
        <v>45643</v>
      </c>
      <c r="B581" s="8" t="inlineStr">
        <is>
          <t>Invoice</t>
        </is>
      </c>
      <c r="C581" s="8" t="inlineStr">
        <is>
          <t>39149</t>
        </is>
      </c>
      <c r="D581" s="9" t="inlineStr"/>
      <c r="E581" s="10" t="n">
        <v>4365.63</v>
      </c>
      <c r="F581" s="10" t="n">
        <v>72956.88</v>
      </c>
    </row>
    <row r="582" ht="20" customHeight="1">
      <c r="A582" s="3" t="n">
        <v>45648</v>
      </c>
      <c r="B582" s="4" t="inlineStr">
        <is>
          <t>Invoice</t>
        </is>
      </c>
      <c r="C582" s="4" t="inlineStr">
        <is>
          <t>39307</t>
        </is>
      </c>
      <c r="D582" s="5" t="inlineStr"/>
      <c r="E582" s="6" t="n">
        <v>2910.42</v>
      </c>
      <c r="F582" s="6" t="n">
        <v>75867.3</v>
      </c>
    </row>
    <row r="583" ht="20" customHeight="1">
      <c r="A583" s="7" t="n">
        <v>45658</v>
      </c>
      <c r="B583" s="8" t="inlineStr">
        <is>
          <t>Opening Balance</t>
        </is>
      </c>
      <c r="C583" s="8" t="inlineStr"/>
      <c r="D583" s="9" t="inlineStr"/>
      <c r="E583" s="10" t="n"/>
      <c r="F583" s="10" t="n">
        <v>75867.3</v>
      </c>
    </row>
    <row r="584" ht="20" customHeight="1">
      <c r="A584" s="3" t="n">
        <v>45658</v>
      </c>
      <c r="B584" s="4" t="inlineStr">
        <is>
          <t>Invoice</t>
        </is>
      </c>
      <c r="C584" s="4" t="inlineStr">
        <is>
          <t>39558</t>
        </is>
      </c>
      <c r="D584" s="5" t="inlineStr"/>
      <c r="E584" s="6" t="n">
        <v>2950.74</v>
      </c>
      <c r="F584" s="6" t="n">
        <v>78818.03999999999</v>
      </c>
    </row>
    <row r="585" ht="20" customHeight="1">
      <c r="A585" s="7" t="n">
        <v>45665</v>
      </c>
      <c r="B585" s="8" t="inlineStr">
        <is>
          <t>Invoice</t>
        </is>
      </c>
      <c r="C585" s="8" t="inlineStr">
        <is>
          <t>39714</t>
        </is>
      </c>
      <c r="D585" s="9" t="inlineStr"/>
      <c r="E585" s="10" t="n">
        <v>4387.23</v>
      </c>
      <c r="F585" s="10" t="n">
        <v>83205.27</v>
      </c>
    </row>
    <row r="586" ht="20" customHeight="1">
      <c r="A586" s="3" t="n">
        <v>45671</v>
      </c>
      <c r="B586" s="4" t="inlineStr">
        <is>
          <t>Invoice</t>
        </is>
      </c>
      <c r="C586" s="4" t="inlineStr">
        <is>
          <t>39898</t>
        </is>
      </c>
      <c r="D586" s="5" t="inlineStr"/>
      <c r="E586" s="6" t="n">
        <v>4387.23</v>
      </c>
      <c r="F586" s="6" t="n">
        <v>87592.5</v>
      </c>
    </row>
    <row r="587" ht="20" customHeight="1">
      <c r="A587" s="7" t="n">
        <v>45673</v>
      </c>
      <c r="B587" s="8" t="inlineStr">
        <is>
          <t>Payment</t>
        </is>
      </c>
      <c r="C587" s="8" t="inlineStr">
        <is>
          <t>00036139</t>
        </is>
      </c>
      <c r="D587" s="9" t="inlineStr"/>
      <c r="E587" s="10" t="n">
        <v>-22336.89</v>
      </c>
      <c r="F587" s="10" t="n">
        <v>65255.61</v>
      </c>
    </row>
    <row r="588" ht="20" customHeight="1">
      <c r="A588" s="3" t="n">
        <v>45680</v>
      </c>
      <c r="B588" s="4" t="inlineStr">
        <is>
          <t>Invoice</t>
        </is>
      </c>
      <c r="C588" s="4" t="inlineStr">
        <is>
          <t>40143</t>
        </is>
      </c>
      <c r="D588" s="5" t="inlineStr"/>
      <c r="E588" s="6" t="n">
        <v>2924.82</v>
      </c>
      <c r="F588" s="6" t="n">
        <v>68180.42999999999</v>
      </c>
    </row>
    <row r="589" ht="20" customHeight="1">
      <c r="A589" s="7" t="n">
        <v>45687</v>
      </c>
      <c r="B589" s="8" t="inlineStr">
        <is>
          <t>Invoice</t>
        </is>
      </c>
      <c r="C589" s="8" t="inlineStr">
        <is>
          <t>40319</t>
        </is>
      </c>
      <c r="D589" s="9" t="inlineStr"/>
      <c r="E589" s="10" t="n">
        <v>2924.82</v>
      </c>
      <c r="F589" s="10" t="n">
        <v>71105.25</v>
      </c>
    </row>
    <row r="590" ht="20" customHeight="1">
      <c r="A590" s="3" t="n">
        <v>45689</v>
      </c>
      <c r="B590" s="4" t="inlineStr">
        <is>
          <t>Opening Balance</t>
        </is>
      </c>
      <c r="C590" s="4" t="inlineStr"/>
      <c r="D590" s="5" t="inlineStr"/>
      <c r="E590" s="6" t="n"/>
      <c r="F590" s="6" t="n">
        <v>71105.25</v>
      </c>
    </row>
    <row r="591" ht="20" customHeight="1">
      <c r="A591" s="7" t="n">
        <v>45698</v>
      </c>
      <c r="B591" s="8" t="inlineStr">
        <is>
          <t>Invoice</t>
        </is>
      </c>
      <c r="C591" s="8" t="inlineStr">
        <is>
          <t>40622</t>
        </is>
      </c>
      <c r="D591" s="9" t="inlineStr"/>
      <c r="E591" s="10" t="n">
        <v>4423.21</v>
      </c>
      <c r="F591" s="10" t="n">
        <v>75528.46000000001</v>
      </c>
    </row>
    <row r="592" ht="20" customHeight="1">
      <c r="A592" s="3" t="n">
        <v>45708</v>
      </c>
      <c r="B592" s="4" t="inlineStr">
        <is>
          <t>Payment</t>
        </is>
      </c>
      <c r="C592" s="4" t="inlineStr">
        <is>
          <t>00036988</t>
        </is>
      </c>
      <c r="D592" s="5" t="inlineStr"/>
      <c r="E592" s="6" t="n">
        <v>-19550.42</v>
      </c>
      <c r="F592" s="6" t="n">
        <v>55978.04</v>
      </c>
    </row>
    <row r="593" ht="20" customHeight="1">
      <c r="A593" s="7" t="n">
        <v>45708</v>
      </c>
      <c r="B593" s="8" t="inlineStr">
        <is>
          <t>Invoice</t>
        </is>
      </c>
      <c r="C593" s="8" t="inlineStr">
        <is>
          <t>40881</t>
        </is>
      </c>
      <c r="D593" s="9" t="inlineStr"/>
      <c r="E593" s="10" t="n">
        <v>4423.21</v>
      </c>
      <c r="F593" s="10" t="n">
        <v>60401.25</v>
      </c>
    </row>
    <row r="594" ht="20" customHeight="1">
      <c r="A594" s="3" t="n">
        <v>45714</v>
      </c>
      <c r="B594" s="4" t="inlineStr">
        <is>
          <t>Invoice</t>
        </is>
      </c>
      <c r="C594" s="4" t="inlineStr">
        <is>
          <t>41051</t>
        </is>
      </c>
      <c r="D594" s="5" t="inlineStr"/>
      <c r="E594" s="6" t="n">
        <v>1474.4</v>
      </c>
      <c r="F594" s="6" t="n">
        <v>61875.65</v>
      </c>
    </row>
    <row r="595" ht="20" customHeight="1">
      <c r="A595" s="7" t="n">
        <v>45717</v>
      </c>
      <c r="B595" s="8" t="inlineStr">
        <is>
          <t>Opening Balance</t>
        </is>
      </c>
      <c r="C595" s="8" t="inlineStr"/>
      <c r="D595" s="9" t="inlineStr"/>
      <c r="E595" s="10" t="n"/>
      <c r="F595" s="10" t="n">
        <v>61875.65</v>
      </c>
    </row>
    <row r="596" ht="20" customHeight="1">
      <c r="A596" s="3" t="n">
        <v>45720</v>
      </c>
      <c r="B596" s="4" t="inlineStr">
        <is>
          <t>Invoice</t>
        </is>
      </c>
      <c r="C596" s="4" t="inlineStr">
        <is>
          <t>41216</t>
        </is>
      </c>
      <c r="D596" s="5" t="inlineStr"/>
      <c r="E596" s="6" t="n">
        <v>2948.81</v>
      </c>
      <c r="F596" s="6" t="n">
        <v>64824.46</v>
      </c>
    </row>
    <row r="597" ht="20" customHeight="1">
      <c r="A597" s="7" t="n">
        <v>45729</v>
      </c>
      <c r="B597" s="8" t="inlineStr">
        <is>
          <t>Invoice</t>
        </is>
      </c>
      <c r="C597" s="8" t="inlineStr">
        <is>
          <t>41486</t>
        </is>
      </c>
      <c r="D597" s="9" t="inlineStr"/>
      <c r="E597" s="10" t="n">
        <v>2948.81</v>
      </c>
      <c r="F597" s="10" t="n">
        <v>67773.27</v>
      </c>
    </row>
    <row r="598" ht="20" customHeight="1">
      <c r="A598" s="3" t="n">
        <v>45735</v>
      </c>
      <c r="B598" s="4" t="inlineStr">
        <is>
          <t>Invoice</t>
        </is>
      </c>
      <c r="C598" s="4" t="inlineStr">
        <is>
          <t>41633</t>
        </is>
      </c>
      <c r="D598" s="5" t="inlineStr"/>
      <c r="E598" s="6" t="n">
        <v>2948.81</v>
      </c>
      <c r="F598" s="6" t="n">
        <v>70722.08</v>
      </c>
    </row>
    <row r="599" ht="20" customHeight="1">
      <c r="A599" s="7" t="n">
        <v>45743</v>
      </c>
      <c r="B599" s="8" t="inlineStr">
        <is>
          <t>Invoice</t>
        </is>
      </c>
      <c r="C599" s="8" t="inlineStr">
        <is>
          <t>41799</t>
        </is>
      </c>
      <c r="D599" s="9" t="inlineStr"/>
      <c r="E599" s="10" t="n">
        <v>2948.81</v>
      </c>
      <c r="F599" s="10" t="n">
        <v>73670.89</v>
      </c>
    </row>
    <row r="600" ht="20" customHeight="1">
      <c r="A600" s="3" t="n">
        <v>45748</v>
      </c>
      <c r="B600" s="4" t="inlineStr">
        <is>
          <t>Opening Balance</t>
        </is>
      </c>
      <c r="C600" s="4" t="inlineStr"/>
      <c r="D600" s="5" t="inlineStr"/>
      <c r="E600" s="6" t="n"/>
      <c r="F600" s="6" t="n">
        <v>73670.89</v>
      </c>
    </row>
    <row r="601" ht="20" customHeight="1">
      <c r="A601" s="7" t="n">
        <v>45748</v>
      </c>
      <c r="B601" s="8" t="inlineStr">
        <is>
          <t>Invoice</t>
        </is>
      </c>
      <c r="C601" s="8" t="inlineStr">
        <is>
          <t>41926</t>
        </is>
      </c>
      <c r="D601" s="9" t="inlineStr"/>
      <c r="E601" s="10" t="n">
        <v>4423.21</v>
      </c>
      <c r="F601" s="10" t="n">
        <v>78094.10000000001</v>
      </c>
    </row>
    <row r="602" ht="20" customHeight="1">
      <c r="A602" s="3" t="n">
        <v>45756</v>
      </c>
      <c r="B602" s="4" t="inlineStr">
        <is>
          <t>Invoice</t>
        </is>
      </c>
      <c r="C602" s="4" t="inlineStr">
        <is>
          <t>42181</t>
        </is>
      </c>
      <c r="D602" s="5" t="inlineStr"/>
      <c r="E602" s="6" t="n">
        <v>4325.33</v>
      </c>
      <c r="F602" s="6" t="n">
        <v>82419.42999999999</v>
      </c>
    </row>
    <row r="603" ht="20" customHeight="1">
      <c r="A603" s="7" t="n">
        <v>45763</v>
      </c>
      <c r="B603" s="8" t="inlineStr">
        <is>
          <t>Invoice</t>
        </is>
      </c>
      <c r="C603" s="8" t="inlineStr">
        <is>
          <t>42357</t>
        </is>
      </c>
      <c r="D603" s="9" t="inlineStr"/>
      <c r="E603" s="10" t="n">
        <v>4325.33</v>
      </c>
      <c r="F603" s="10" t="n">
        <v>86744.75999999999</v>
      </c>
    </row>
    <row r="604" ht="20" customHeight="1">
      <c r="A604" s="3" t="n">
        <v>45771</v>
      </c>
      <c r="B604" s="4" t="inlineStr">
        <is>
          <t>Invoice</t>
        </is>
      </c>
      <c r="C604" s="4" t="inlineStr">
        <is>
          <t>42565</t>
        </is>
      </c>
      <c r="D604" s="5" t="inlineStr"/>
      <c r="E604" s="6" t="n">
        <v>4325.33</v>
      </c>
      <c r="F604" s="6" t="n">
        <v>91070.09</v>
      </c>
    </row>
    <row r="605" ht="20" customHeight="1">
      <c r="A605" s="7" t="n">
        <v>45776</v>
      </c>
      <c r="B605" s="8" t="inlineStr">
        <is>
          <t>Invoice</t>
        </is>
      </c>
      <c r="C605" s="8" t="inlineStr">
        <is>
          <t>42704</t>
        </is>
      </c>
      <c r="D605" s="9" t="inlineStr"/>
      <c r="E605" s="10" t="n">
        <v>4325.33</v>
      </c>
      <c r="F605" s="10" t="n">
        <v>95395.42</v>
      </c>
    </row>
    <row r="606" ht="20" customHeight="1">
      <c r="A606" s="3" t="n">
        <v>45778</v>
      </c>
      <c r="B606" s="4" t="inlineStr">
        <is>
          <t>Opening Balance</t>
        </is>
      </c>
      <c r="C606" s="4" t="inlineStr"/>
      <c r="D606" s="5" t="inlineStr"/>
      <c r="E606" s="6" t="n"/>
      <c r="F606" s="6" t="n">
        <v>95395.42</v>
      </c>
    </row>
    <row r="607" ht="20" customHeight="1">
      <c r="A607" s="7" t="n">
        <v>45779</v>
      </c>
      <c r="B607" s="8" t="inlineStr">
        <is>
          <t>Invoice</t>
        </is>
      </c>
      <c r="C607" s="8" t="inlineStr">
        <is>
          <t>42755</t>
        </is>
      </c>
      <c r="D607" s="9" t="inlineStr"/>
      <c r="E607" s="10" t="n">
        <v>3153.89</v>
      </c>
      <c r="F607" s="10" t="n">
        <v>98549.31</v>
      </c>
    </row>
    <row r="608" ht="20" customHeight="1">
      <c r="A608" s="3" t="n">
        <v>45779</v>
      </c>
      <c r="B608" s="4" t="inlineStr">
        <is>
          <t>Crd Note</t>
        </is>
      </c>
      <c r="C608" s="4" t="inlineStr">
        <is>
          <t>12390</t>
        </is>
      </c>
      <c r="D608" s="5" t="inlineStr"/>
      <c r="E608" s="6" t="n">
        <v>-4325.33</v>
      </c>
      <c r="F608" s="6" t="n">
        <v>94223.98</v>
      </c>
    </row>
    <row r="609" ht="20" customHeight="1">
      <c r="A609" s="7" t="n">
        <v>45781</v>
      </c>
      <c r="B609" s="8" t="inlineStr">
        <is>
          <t>Payment</t>
        </is>
      </c>
      <c r="C609" s="8" t="inlineStr">
        <is>
          <t>00038481</t>
        </is>
      </c>
      <c r="D609" s="9" t="inlineStr"/>
      <c r="E609" s="10" t="n">
        <v>-15816.63</v>
      </c>
      <c r="F609" s="10" t="n">
        <v>78407.35000000001</v>
      </c>
    </row>
    <row r="610" ht="20" customHeight="1">
      <c r="A610" s="3" t="n">
        <v>45785</v>
      </c>
      <c r="B610" s="4" t="inlineStr">
        <is>
          <t>Invoice</t>
        </is>
      </c>
      <c r="C610" s="4" t="inlineStr">
        <is>
          <t>42949</t>
        </is>
      </c>
      <c r="D610" s="5" t="inlineStr"/>
      <c r="E610" s="6" t="n">
        <v>4325.33</v>
      </c>
      <c r="F610" s="6" t="n">
        <v>82732.67999999999</v>
      </c>
    </row>
    <row r="611" ht="20" customHeight="1">
      <c r="A611" s="7" t="n">
        <v>45791</v>
      </c>
      <c r="B611" s="8" t="inlineStr">
        <is>
          <t>Invoice</t>
        </is>
      </c>
      <c r="C611" s="8" t="inlineStr">
        <is>
          <t>43089</t>
        </is>
      </c>
      <c r="D611" s="9" t="inlineStr"/>
      <c r="E611" s="10" t="n">
        <v>2883.56</v>
      </c>
      <c r="F611" s="10" t="n">
        <v>85616.24000000001</v>
      </c>
    </row>
    <row r="612" ht="20" customHeight="1">
      <c r="A612" s="3" t="n">
        <v>45797</v>
      </c>
      <c r="B612" s="4" t="inlineStr">
        <is>
          <t>Invoice</t>
        </is>
      </c>
      <c r="C612" s="4" t="inlineStr">
        <is>
          <t>43271</t>
        </is>
      </c>
      <c r="D612" s="5" t="inlineStr"/>
      <c r="E612" s="6" t="n">
        <v>4382.95</v>
      </c>
      <c r="F612" s="6" t="n">
        <v>89999.19</v>
      </c>
    </row>
    <row r="613" ht="20" customHeight="1">
      <c r="A613" s="7" t="n">
        <v>45798</v>
      </c>
      <c r="B613" s="8" t="inlineStr">
        <is>
          <t>Payment</t>
        </is>
      </c>
      <c r="C613" s="8" t="inlineStr">
        <is>
          <t>00038846</t>
        </is>
      </c>
      <c r="D613" s="9" t="inlineStr"/>
      <c r="E613" s="10" t="n">
        <v>-7337.97</v>
      </c>
      <c r="F613" s="10" t="n">
        <v>82661.22</v>
      </c>
    </row>
    <row r="614" ht="20" customHeight="1">
      <c r="A614" s="3" t="n">
        <v>45805</v>
      </c>
      <c r="B614" s="4" t="inlineStr">
        <is>
          <t>Invoice</t>
        </is>
      </c>
      <c r="C614" s="4" t="inlineStr">
        <is>
          <t>43451</t>
        </is>
      </c>
      <c r="D614" s="5" t="inlineStr"/>
      <c r="E614" s="6" t="n">
        <v>2921.97</v>
      </c>
      <c r="F614" s="6" t="n">
        <v>85583.19</v>
      </c>
    </row>
    <row r="615" ht="20" customHeight="1">
      <c r="A615" s="7" t="n">
        <v>45809</v>
      </c>
      <c r="B615" s="8" t="inlineStr">
        <is>
          <t>Opening Balance</t>
        </is>
      </c>
      <c r="C615" s="8" t="inlineStr"/>
      <c r="D615" s="9" t="inlineStr"/>
      <c r="E615" s="10" t="n"/>
      <c r="F615" s="10" t="n">
        <v>85583.19</v>
      </c>
    </row>
    <row r="616" ht="20" customHeight="1">
      <c r="A616" s="3" t="n">
        <v>45812</v>
      </c>
      <c r="B616" s="4" t="inlineStr">
        <is>
          <t>Invoice</t>
        </is>
      </c>
      <c r="C616" s="4" t="inlineStr">
        <is>
          <t>43628</t>
        </is>
      </c>
      <c r="D616" s="5" t="inlineStr"/>
      <c r="E616" s="6" t="n">
        <v>4382.95</v>
      </c>
      <c r="F616" s="6" t="n">
        <v>89966.14</v>
      </c>
    </row>
    <row r="617" ht="20" customHeight="1">
      <c r="A617" s="7" t="n">
        <v>45819</v>
      </c>
      <c r="B617" s="8" t="inlineStr">
        <is>
          <t>Payment</t>
        </is>
      </c>
      <c r="C617" s="8" t="inlineStr">
        <is>
          <t>00039812</t>
        </is>
      </c>
      <c r="D617" s="9" t="inlineStr"/>
      <c r="E617" s="10" t="n">
        <v>-20557.69</v>
      </c>
      <c r="F617" s="10" t="n">
        <v>69408.45</v>
      </c>
    </row>
    <row r="618" ht="20" customHeight="1">
      <c r="A618" s="3" t="n">
        <v>45819</v>
      </c>
      <c r="B618" s="4" t="inlineStr">
        <is>
          <t>Invoice</t>
        </is>
      </c>
      <c r="C618" s="4" t="inlineStr">
        <is>
          <t>43880</t>
        </is>
      </c>
      <c r="D618" s="5" t="inlineStr"/>
      <c r="E618" s="6" t="n">
        <v>3115.05</v>
      </c>
      <c r="F618" s="6" t="n">
        <v>72523.5</v>
      </c>
    </row>
    <row r="619" ht="20" customHeight="1">
      <c r="A619" s="7" t="n">
        <v>45819</v>
      </c>
      <c r="B619" s="8" t="inlineStr">
        <is>
          <t>Crd Note</t>
        </is>
      </c>
      <c r="C619" s="8" t="inlineStr">
        <is>
          <t>12712</t>
        </is>
      </c>
      <c r="D619" s="9" t="inlineStr"/>
      <c r="E619" s="10" t="n">
        <v>-3115.05</v>
      </c>
      <c r="F619" s="10" t="n">
        <v>69408.45</v>
      </c>
    </row>
    <row r="620" ht="20" customHeight="1">
      <c r="A620" s="3" t="n">
        <v>45820</v>
      </c>
      <c r="B620" s="4" t="inlineStr">
        <is>
          <t>Invoice</t>
        </is>
      </c>
      <c r="C620" s="4" t="inlineStr">
        <is>
          <t>43910</t>
        </is>
      </c>
      <c r="D620" s="5" t="inlineStr"/>
      <c r="E620" s="6" t="n">
        <v>3115.05</v>
      </c>
      <c r="F620" s="6" t="n">
        <v>72523.5</v>
      </c>
    </row>
    <row r="621" ht="20" customHeight="1">
      <c r="A621" s="7" t="n">
        <v>45827</v>
      </c>
      <c r="B621" s="8" t="inlineStr">
        <is>
          <t>Invoice</t>
        </is>
      </c>
      <c r="C621" s="8" t="inlineStr">
        <is>
          <t>44097</t>
        </is>
      </c>
      <c r="D621" s="9" t="inlineStr"/>
      <c r="E621" s="10" t="n">
        <v>4272.07</v>
      </c>
      <c r="F621" s="10" t="n">
        <v>76795.57000000001</v>
      </c>
    </row>
    <row r="622" ht="20" customHeight="1">
      <c r="A622" s="3" t="n">
        <v>45833</v>
      </c>
      <c r="B622" s="4" t="inlineStr">
        <is>
          <t>Invoice</t>
        </is>
      </c>
      <c r="C622" s="4" t="inlineStr">
        <is>
          <t>44241</t>
        </is>
      </c>
      <c r="D622" s="5" t="inlineStr"/>
      <c r="E622" s="6" t="n">
        <v>2848.04</v>
      </c>
      <c r="F622" s="6" t="n">
        <v>79643.61</v>
      </c>
    </row>
    <row r="623" ht="20" customHeight="1">
      <c r="A623" s="7" t="n">
        <v>45839</v>
      </c>
      <c r="B623" s="8" t="inlineStr">
        <is>
          <t>Opening Balance</t>
        </is>
      </c>
      <c r="C623" s="8" t="inlineStr"/>
      <c r="D623" s="9" t="inlineStr"/>
      <c r="E623" s="10" t="n"/>
      <c r="F623" s="10" t="n">
        <v>79643.61</v>
      </c>
    </row>
    <row r="624" ht="20" customHeight="1">
      <c r="A624" s="3" t="n">
        <v>45841</v>
      </c>
      <c r="B624" s="4" t="inlineStr">
        <is>
          <t>Invoice</t>
        </is>
      </c>
      <c r="C624" s="4" t="inlineStr">
        <is>
          <t>44516</t>
        </is>
      </c>
      <c r="D624" s="5" t="inlineStr"/>
      <c r="E624" s="6" t="n">
        <v>3115.05</v>
      </c>
      <c r="F624" s="6" t="n">
        <v>82758.66</v>
      </c>
    </row>
    <row r="625" ht="20" customHeight="1">
      <c r="A625" s="7" t="n">
        <v>45847</v>
      </c>
      <c r="B625" s="8" t="inlineStr">
        <is>
          <t>Invoice</t>
        </is>
      </c>
      <c r="C625" s="8" t="inlineStr">
        <is>
          <t>44707</t>
        </is>
      </c>
      <c r="D625" s="9" t="inlineStr"/>
      <c r="E625" s="10" t="n">
        <v>4200.69</v>
      </c>
      <c r="F625" s="10" t="n">
        <v>86959.35000000001</v>
      </c>
    </row>
    <row r="626" ht="20" customHeight="1">
      <c r="A626" s="3" t="n">
        <v>45851</v>
      </c>
      <c r="B626" s="4" t="inlineStr">
        <is>
          <t>Payment</t>
        </is>
      </c>
      <c r="C626" s="4" t="inlineStr">
        <is>
          <t>00040063</t>
        </is>
      </c>
      <c r="D626" s="5" t="inlineStr"/>
      <c r="E626" s="6" t="n">
        <v>-11795.24</v>
      </c>
      <c r="F626" s="6" t="n">
        <v>75164.11</v>
      </c>
    </row>
    <row r="627" ht="20" customHeight="1">
      <c r="A627" s="7" t="n">
        <v>45855</v>
      </c>
      <c r="B627" s="8" t="inlineStr">
        <is>
          <t>Invoice</t>
        </is>
      </c>
      <c r="C627" s="8" t="inlineStr">
        <is>
          <t>44933</t>
        </is>
      </c>
      <c r="D627" s="9" t="inlineStr"/>
      <c r="E627" s="10" t="n">
        <v>4200.69</v>
      </c>
      <c r="F627" s="10" t="n">
        <v>79364.8</v>
      </c>
    </row>
    <row r="628" ht="20" customHeight="1">
      <c r="A628" s="3" t="n">
        <v>45861</v>
      </c>
      <c r="B628" s="4" t="inlineStr">
        <is>
          <t>Invoice</t>
        </is>
      </c>
      <c r="C628" s="4" t="inlineStr">
        <is>
          <t>45091</t>
        </is>
      </c>
      <c r="D628" s="5" t="inlineStr"/>
      <c r="E628" s="6" t="n">
        <v>2800.46</v>
      </c>
      <c r="F628" s="6" t="n">
        <v>82165.25999999999</v>
      </c>
    </row>
    <row r="629" ht="20" customHeight="1">
      <c r="A629" s="7" t="n">
        <v>45863</v>
      </c>
      <c r="B629" s="8" t="inlineStr">
        <is>
          <t>Invoice</t>
        </is>
      </c>
      <c r="C629" s="8" t="inlineStr">
        <is>
          <t>45162</t>
        </is>
      </c>
      <c r="D629" s="9" t="inlineStr"/>
      <c r="E629" s="10" t="n">
        <v>262.55</v>
      </c>
      <c r="F629" s="10" t="n">
        <v>82427.81</v>
      </c>
    </row>
    <row r="630" ht="20" customHeight="1">
      <c r="A630" s="3" t="n">
        <v>45869</v>
      </c>
      <c r="B630" s="4" t="inlineStr">
        <is>
          <t>Invoice</t>
        </is>
      </c>
      <c r="C630" s="4" t="inlineStr">
        <is>
          <t>45323</t>
        </is>
      </c>
      <c r="D630" s="5" t="inlineStr"/>
      <c r="E630" s="6" t="n">
        <v>4200.69</v>
      </c>
      <c r="F630" s="6" t="n">
        <v>86628.5</v>
      </c>
    </row>
    <row r="631" ht="20" customHeight="1">
      <c r="A631" s="7" t="n">
        <v>45870</v>
      </c>
      <c r="B631" s="8" t="inlineStr">
        <is>
          <t>Opening Balance</t>
        </is>
      </c>
      <c r="C631" s="8" t="inlineStr"/>
      <c r="D631" s="9" t="inlineStr"/>
      <c r="E631" s="10" t="n"/>
      <c r="F631" s="10" t="n">
        <v>86628.5</v>
      </c>
    </row>
    <row r="632" ht="20" customHeight="1">
      <c r="A632" s="3" t="n">
        <v>45876</v>
      </c>
      <c r="B632" s="4" t="inlineStr">
        <is>
          <t>Invoice</t>
        </is>
      </c>
      <c r="C632" s="4" t="inlineStr">
        <is>
          <t>45498</t>
        </is>
      </c>
      <c r="D632" s="5" t="inlineStr"/>
      <c r="E632" s="6" t="n">
        <v>2800.46</v>
      </c>
      <c r="F632" s="6" t="n">
        <v>89428.96000000001</v>
      </c>
    </row>
    <row r="633" ht="20" customHeight="1">
      <c r="A633" s="7" t="n">
        <v>45883</v>
      </c>
      <c r="B633" s="8" t="inlineStr">
        <is>
          <t>Invoice</t>
        </is>
      </c>
      <c r="C633" s="8" t="inlineStr">
        <is>
          <t>45671</t>
        </is>
      </c>
      <c r="D633" s="9" t="inlineStr"/>
      <c r="E633" s="10" t="n">
        <v>4114.57</v>
      </c>
      <c r="F633" s="10" t="n">
        <v>93543.53</v>
      </c>
    </row>
    <row r="634" ht="20" customHeight="1">
      <c r="A634" s="3" t="n">
        <v>45890</v>
      </c>
      <c r="B634" s="4" t="inlineStr">
        <is>
          <t>Payment</t>
        </is>
      </c>
      <c r="C634" s="4" t="inlineStr">
        <is>
          <t>00040746</t>
        </is>
      </c>
      <c r="D634" s="5" t="inlineStr"/>
      <c r="E634" s="6" t="n">
        <v>-14579.44</v>
      </c>
      <c r="F634" s="6" t="n">
        <v>78964.09</v>
      </c>
    </row>
    <row r="635" ht="20" customHeight="1">
      <c r="A635" s="7" t="n">
        <v>45890</v>
      </c>
      <c r="B635" s="8" t="inlineStr">
        <is>
          <t>Invoice</t>
        </is>
      </c>
      <c r="C635" s="8" t="inlineStr">
        <is>
          <t>45831</t>
        </is>
      </c>
      <c r="D635" s="9" t="inlineStr"/>
      <c r="E635" s="10" t="n">
        <v>4114.57</v>
      </c>
      <c r="F635" s="10" t="n">
        <v>83078.66</v>
      </c>
    </row>
    <row r="636" ht="20" customHeight="1">
      <c r="A636" s="3" t="n">
        <v>45897</v>
      </c>
      <c r="B636" s="4" t="inlineStr">
        <is>
          <t>Invoice</t>
        </is>
      </c>
      <c r="C636" s="4" t="inlineStr">
        <is>
          <t>45992</t>
        </is>
      </c>
      <c r="D636" s="5" t="inlineStr"/>
      <c r="E636" s="6" t="n">
        <v>1371.53</v>
      </c>
      <c r="F636" s="6" t="n">
        <v>84450.19</v>
      </c>
    </row>
    <row r="637" ht="20" customHeight="1">
      <c r="A637" s="7" t="n">
        <v>45901</v>
      </c>
      <c r="B637" s="8" t="inlineStr">
        <is>
          <t>Opening Balance</t>
        </is>
      </c>
      <c r="C637" s="8" t="inlineStr"/>
      <c r="D637" s="9" t="inlineStr"/>
      <c r="E637" s="10" t="n"/>
      <c r="F637" s="10" t="n">
        <v>84450.19</v>
      </c>
    </row>
    <row r="638" ht="20" customHeight="1">
      <c r="A638" s="3" t="n">
        <v>45903</v>
      </c>
      <c r="B638" s="4" t="inlineStr">
        <is>
          <t>Invoice</t>
        </is>
      </c>
      <c r="C638" s="4" t="inlineStr">
        <is>
          <t>46124</t>
        </is>
      </c>
      <c r="D638" s="5" t="inlineStr"/>
      <c r="E638" s="6" t="n">
        <v>4114.57</v>
      </c>
      <c r="F638" s="6" t="n">
        <v>88564.75999999999</v>
      </c>
    </row>
    <row r="639" ht="20" customHeight="1">
      <c r="A639" s="7" t="n">
        <v>45910</v>
      </c>
      <c r="B639" s="8" t="inlineStr">
        <is>
          <t>Invoice</t>
        </is>
      </c>
      <c r="C639" s="8" t="inlineStr">
        <is>
          <t>46308</t>
        </is>
      </c>
      <c r="D639" s="9" t="inlineStr"/>
      <c r="E639" s="10" t="n">
        <v>3948.56</v>
      </c>
      <c r="F639" s="10" t="n">
        <v>92513.32000000001</v>
      </c>
    </row>
    <row r="640" ht="20" customHeight="1">
      <c r="A640" s="3" t="n">
        <v>45918</v>
      </c>
      <c r="B640" s="4" t="inlineStr">
        <is>
          <t>Invoice</t>
        </is>
      </c>
      <c r="C640" s="4" t="inlineStr">
        <is>
          <t>46525</t>
        </is>
      </c>
      <c r="D640" s="5" t="inlineStr"/>
      <c r="E640" s="6" t="n">
        <v>2632.37</v>
      </c>
      <c r="F640" s="6" t="n">
        <v>95145.69</v>
      </c>
    </row>
    <row r="641" ht="20" customHeight="1">
      <c r="A641" s="7" t="n">
        <v>45925</v>
      </c>
      <c r="B641" s="8" t="inlineStr">
        <is>
          <t>Invoice</t>
        </is>
      </c>
      <c r="C641" s="8" t="inlineStr">
        <is>
          <t>46686</t>
        </is>
      </c>
      <c r="D641" s="9" t="inlineStr"/>
      <c r="E641" s="10" t="n">
        <v>2632.37</v>
      </c>
      <c r="F641" s="10" t="n">
        <v>97778.06</v>
      </c>
    </row>
    <row r="642" ht="20" customHeight="1">
      <c r="A642" s="3" t="n">
        <v>45931</v>
      </c>
      <c r="B642" s="4" t="inlineStr">
        <is>
          <t>Opening Balance</t>
        </is>
      </c>
      <c r="C642" s="4" t="inlineStr"/>
      <c r="D642" s="5" t="inlineStr"/>
      <c r="E642" s="6" t="n"/>
      <c r="F642" s="6" t="n">
        <v>97778.06</v>
      </c>
    </row>
    <row r="643" ht="20" customHeight="1">
      <c r="A643" s="7" t="n">
        <v>45932</v>
      </c>
      <c r="B643" s="8" t="inlineStr">
        <is>
          <t>Invoice</t>
        </is>
      </c>
      <c r="C643" s="8" t="inlineStr">
        <is>
          <t>46859</t>
        </is>
      </c>
      <c r="D643" s="9" t="inlineStr"/>
      <c r="E643" s="10" t="n">
        <v>3948.56</v>
      </c>
      <c r="F643" s="10" t="n">
        <v>101726.62</v>
      </c>
    </row>
    <row r="644" ht="20" customHeight="1">
      <c r="A644" s="3" t="n">
        <v>45938</v>
      </c>
      <c r="B644" s="4" t="inlineStr">
        <is>
          <t>Invoice</t>
        </is>
      </c>
      <c r="C644" s="4" t="inlineStr">
        <is>
          <t>46990</t>
        </is>
      </c>
      <c r="D644" s="5" t="inlineStr"/>
      <c r="E644" s="6" t="n">
        <v>3948.56</v>
      </c>
      <c r="F644" s="6" t="n">
        <v>105675.18</v>
      </c>
    </row>
    <row r="645" ht="20" customHeight="1">
      <c r="A645" s="7" t="n">
        <v>45943</v>
      </c>
      <c r="B645" s="8" t="inlineStr">
        <is>
          <t>Payment</t>
        </is>
      </c>
      <c r="C645" s="8" t="inlineStr">
        <is>
          <t>00041664</t>
        </is>
      </c>
      <c r="D645" s="9" t="inlineStr"/>
      <c r="E645" s="10" t="n">
        <v>-16601.81</v>
      </c>
      <c r="F645" s="10" t="n">
        <v>89073.37</v>
      </c>
    </row>
    <row r="646" ht="20" customHeight="1">
      <c r="A646" s="3" t="n">
        <v>45946</v>
      </c>
      <c r="B646" s="4" t="inlineStr">
        <is>
          <t>Invoice</t>
        </is>
      </c>
      <c r="C646" s="4" t="inlineStr">
        <is>
          <t>47148</t>
        </is>
      </c>
      <c r="D646" s="5" t="inlineStr"/>
      <c r="E646" s="6" t="n">
        <v>2632.37</v>
      </c>
      <c r="F646" s="6" t="n">
        <v>91705.74000000001</v>
      </c>
    </row>
    <row r="647" ht="20" customHeight="1">
      <c r="A647" s="7" t="n">
        <v>45953</v>
      </c>
      <c r="B647" s="8" t="inlineStr">
        <is>
          <t>Invoice</t>
        </is>
      </c>
      <c r="C647" s="8" t="inlineStr">
        <is>
          <t>47292</t>
        </is>
      </c>
      <c r="D647" s="9" t="inlineStr"/>
      <c r="E647" s="10" t="n">
        <v>2632.37</v>
      </c>
      <c r="F647" s="10" t="n">
        <v>94338.11</v>
      </c>
    </row>
    <row r="648" ht="20" customHeight="1">
      <c r="A648" s="3" t="n">
        <v>45961</v>
      </c>
      <c r="B648" s="4" t="inlineStr">
        <is>
          <t>Invoice</t>
        </is>
      </c>
      <c r="C648" s="4" t="inlineStr">
        <is>
          <t>47464</t>
        </is>
      </c>
      <c r="D648" s="5" t="inlineStr"/>
      <c r="E648" s="6" t="n">
        <v>3948.56</v>
      </c>
      <c r="F648" s="6" t="n">
        <v>98286.67</v>
      </c>
    </row>
    <row r="649" ht="20" customHeight="1">
      <c r="A649" s="7" t="n">
        <v>45962</v>
      </c>
      <c r="B649" s="8" t="inlineStr">
        <is>
          <t>Opening Balance</t>
        </is>
      </c>
      <c r="C649" s="8" t="inlineStr"/>
      <c r="D649" s="9" t="inlineStr"/>
      <c r="E649" s="10" t="n"/>
      <c r="F649" s="10" t="n">
        <v>98286.67</v>
      </c>
    </row>
    <row r="650" ht="20" customHeight="1">
      <c r="A650" s="3" t="n">
        <v>45966</v>
      </c>
      <c r="B650" s="4" t="inlineStr">
        <is>
          <t>Payment</t>
        </is>
      </c>
      <c r="C650" s="4" t="inlineStr">
        <is>
          <t>00042134</t>
        </is>
      </c>
      <c r="D650" s="5" t="inlineStr"/>
      <c r="E650" s="6" t="n">
        <v>-13327.87</v>
      </c>
      <c r="F650" s="6" t="n">
        <v>84958.8</v>
      </c>
    </row>
    <row r="651" ht="20" customHeight="1">
      <c r="A651" s="7" t="n">
        <v>45968</v>
      </c>
      <c r="B651" s="8" t="inlineStr">
        <is>
          <t>Invoice</t>
        </is>
      </c>
      <c r="C651" s="8" t="inlineStr">
        <is>
          <t>47571</t>
        </is>
      </c>
      <c r="D651" s="9" t="inlineStr"/>
      <c r="E651" s="10" t="n">
        <v>2584.37</v>
      </c>
      <c r="F651" s="10" t="n">
        <v>87543.17</v>
      </c>
    </row>
    <row r="652" ht="20" customHeight="1">
      <c r="A652" s="3" t="n">
        <v>45974</v>
      </c>
      <c r="B652" s="4" t="inlineStr">
        <is>
          <t>Invoice</t>
        </is>
      </c>
      <c r="C652" s="4" t="inlineStr">
        <is>
          <t>47670</t>
        </is>
      </c>
      <c r="D652" s="5" t="inlineStr"/>
      <c r="E652" s="6" t="n">
        <v>2584.37</v>
      </c>
      <c r="F652" s="6" t="n">
        <v>90127.53999999999</v>
      </c>
    </row>
    <row r="653" ht="20" customHeight="1">
      <c r="A653" s="7" t="n">
        <v>45981</v>
      </c>
      <c r="B653" s="8" t="inlineStr">
        <is>
          <t>Invoice</t>
        </is>
      </c>
      <c r="C653" s="8" t="inlineStr">
        <is>
          <t>47848</t>
        </is>
      </c>
      <c r="D653" s="9" t="inlineStr"/>
      <c r="E653" s="10" t="n">
        <v>3876.56</v>
      </c>
      <c r="F653" s="10" t="n">
        <v>94004.10000000001</v>
      </c>
    </row>
    <row r="654" ht="20" customHeight="1">
      <c r="A654" s="3" t="n">
        <v>45988</v>
      </c>
      <c r="B654" s="4" t="inlineStr">
        <is>
          <t>Invoice</t>
        </is>
      </c>
      <c r="C654" s="4" t="inlineStr">
        <is>
          <t>47983</t>
        </is>
      </c>
      <c r="D654" s="5" t="inlineStr"/>
      <c r="E654" s="6" t="n">
        <v>2584.37</v>
      </c>
      <c r="F654" s="6" t="n">
        <v>96588.47</v>
      </c>
    </row>
    <row r="655" ht="20" customHeight="1">
      <c r="A655" s="7" t="n">
        <v>45992</v>
      </c>
      <c r="B655" s="8" t="inlineStr">
        <is>
          <t>Opening Balance</t>
        </is>
      </c>
      <c r="C655" s="8" t="inlineStr"/>
      <c r="D655" s="9" t="inlineStr"/>
      <c r="E655" s="10" t="n"/>
      <c r="F655" s="10" t="n">
        <v>96588.47</v>
      </c>
    </row>
    <row r="656" ht="20" customHeight="1">
      <c r="A656" s="3" t="n">
        <v>45994</v>
      </c>
      <c r="B656" s="4" t="inlineStr">
        <is>
          <t>Invoice</t>
        </is>
      </c>
      <c r="C656" s="4" t="inlineStr">
        <is>
          <t>48098</t>
        </is>
      </c>
      <c r="D656" s="5" t="inlineStr"/>
      <c r="E656" s="6" t="n">
        <v>3876.56</v>
      </c>
      <c r="F656" s="6" t="n">
        <v>100465.03</v>
      </c>
    </row>
    <row r="657" ht="20" customHeight="1">
      <c r="A657" s="7" t="n">
        <v>46002</v>
      </c>
      <c r="B657" s="8" t="inlineStr">
        <is>
          <t>Invoice</t>
        </is>
      </c>
      <c r="C657" s="8" t="inlineStr">
        <is>
          <t>48244</t>
        </is>
      </c>
      <c r="D657" s="9" t="inlineStr"/>
      <c r="E657" s="10" t="n">
        <v>2596.52</v>
      </c>
      <c r="F657" s="10" t="n">
        <v>103061.55</v>
      </c>
    </row>
    <row r="658" ht="20" customHeight="1">
      <c r="A658" s="3" t="n">
        <v>46009</v>
      </c>
      <c r="B658" s="4" t="inlineStr">
        <is>
          <t>Invoice</t>
        </is>
      </c>
      <c r="C658" s="4" t="inlineStr">
        <is>
          <t>48391</t>
        </is>
      </c>
      <c r="D658" s="5" t="inlineStr"/>
      <c r="E658" s="6" t="n">
        <v>3894.77</v>
      </c>
      <c r="F658" s="6" t="n">
        <v>106956.32</v>
      </c>
    </row>
    <row r="659" ht="20" customHeight="1">
      <c r="A659" s="7" t="n">
        <v>46014</v>
      </c>
      <c r="B659" s="8" t="inlineStr">
        <is>
          <t>Invoice</t>
        </is>
      </c>
      <c r="C659" s="8" t="inlineStr">
        <is>
          <t>48487</t>
        </is>
      </c>
      <c r="D659" s="9" t="inlineStr"/>
      <c r="E659" s="10" t="n">
        <v>1298.26</v>
      </c>
      <c r="F659" s="10" t="n">
        <v>108254.58</v>
      </c>
    </row>
    <row r="660" ht="20" customHeight="1">
      <c r="A660" s="3" t="n">
        <v>46019</v>
      </c>
      <c r="B660" s="4" t="inlineStr">
        <is>
          <t>Payment</t>
        </is>
      </c>
      <c r="C660" s="4" t="inlineStr">
        <is>
          <t>00042788</t>
        </is>
      </c>
      <c r="D660" s="5" t="inlineStr"/>
      <c r="E660" s="6" t="n">
        <v>-13161.86</v>
      </c>
      <c r="F660" s="6" t="n">
        <v>95092.72</v>
      </c>
    </row>
    <row r="661" ht="20" customHeight="1">
      <c r="A661" s="7" t="n">
        <v>46021</v>
      </c>
      <c r="B661" s="8" t="inlineStr">
        <is>
          <t>Invoice</t>
        </is>
      </c>
      <c r="C661" s="8" t="inlineStr">
        <is>
          <t>48578</t>
        </is>
      </c>
      <c r="D661" s="9" t="inlineStr"/>
      <c r="E661" s="10" t="n">
        <v>3894.77</v>
      </c>
      <c r="F661" s="10" t="n">
        <v>98987.49000000001</v>
      </c>
    </row>
    <row r="662" ht="20" customHeight="1">
      <c r="A662" s="3" t="n">
        <v>46021</v>
      </c>
      <c r="B662" s="4" t="inlineStr">
        <is>
          <t>Crd Note</t>
        </is>
      </c>
      <c r="C662" s="4" t="inlineStr">
        <is>
          <t>14198</t>
        </is>
      </c>
      <c r="D662" s="5" t="inlineStr"/>
      <c r="E662" s="6" t="n">
        <v>-3894.77</v>
      </c>
      <c r="F662" s="6" t="n">
        <v>95092.72</v>
      </c>
    </row>
    <row r="663" ht="20" customHeight="1">
      <c r="A663" s="7" t="n">
        <v>46022</v>
      </c>
      <c r="B663" s="8" t="inlineStr">
        <is>
          <t>Invoice</t>
        </is>
      </c>
      <c r="C663" s="8" t="inlineStr">
        <is>
          <t>48599</t>
        </is>
      </c>
      <c r="D663" s="9" t="inlineStr"/>
      <c r="E663" s="10" t="n">
        <v>3894.77</v>
      </c>
      <c r="F663" s="10" t="n">
        <v>98987.49000000001</v>
      </c>
    </row>
    <row r="664" ht="20" customHeight="1">
      <c r="A664" s="3" t="n">
        <v>46023</v>
      </c>
      <c r="B664" s="4" t="inlineStr">
        <is>
          <t>Opening Balance</t>
        </is>
      </c>
      <c r="C664" s="4" t="inlineStr"/>
      <c r="D664" s="5" t="inlineStr"/>
      <c r="E664" s="6" t="n"/>
      <c r="F664" s="6" t="n">
        <v>98987.49000000001</v>
      </c>
    </row>
    <row r="665" ht="20" customHeight="1">
      <c r="A665" s="7" t="n">
        <v>46024</v>
      </c>
      <c r="B665" s="8" t="inlineStr">
        <is>
          <t>Invoice</t>
        </is>
      </c>
      <c r="C665" s="8" t="inlineStr">
        <is>
          <t>48776</t>
        </is>
      </c>
      <c r="D665" s="9" t="inlineStr"/>
      <c r="E665" s="10" t="n">
        <v>2596.52</v>
      </c>
      <c r="F665" s="10" t="n">
        <v>101584.01</v>
      </c>
    </row>
    <row r="666" ht="20" customHeight="1">
      <c r="A666" s="3" t="n">
        <v>46024</v>
      </c>
      <c r="B666" s="4" t="inlineStr">
        <is>
          <t>Crd Note</t>
        </is>
      </c>
      <c r="C666" s="4" t="inlineStr">
        <is>
          <t>14201</t>
        </is>
      </c>
      <c r="D666" s="5" t="inlineStr"/>
      <c r="E666" s="6" t="n">
        <v>-2596.52</v>
      </c>
      <c r="F666" s="6" t="n">
        <v>98987.49000000001</v>
      </c>
    </row>
    <row r="667" ht="20" customHeight="1">
      <c r="A667" s="7" t="n">
        <v>46030</v>
      </c>
      <c r="B667" s="8" t="inlineStr">
        <is>
          <t>Invoice</t>
        </is>
      </c>
      <c r="C667" s="8" t="inlineStr">
        <is>
          <t>48701</t>
        </is>
      </c>
      <c r="D667" s="9" t="inlineStr"/>
      <c r="E667" s="10" t="n">
        <v>3894.77</v>
      </c>
      <c r="F667" s="10" t="n">
        <v>102882.26</v>
      </c>
    </row>
    <row r="668" ht="20" customHeight="1">
      <c r="A668" s="3" t="n">
        <v>46038</v>
      </c>
      <c r="B668" s="4" t="inlineStr">
        <is>
          <t>Invoice</t>
        </is>
      </c>
      <c r="C668" s="4" t="inlineStr">
        <is>
          <t>48828</t>
        </is>
      </c>
      <c r="D668" s="5" t="inlineStr"/>
      <c r="E668" s="6" t="n">
        <v>3920.13</v>
      </c>
      <c r="F668" s="6" t="n">
        <v>106802.39</v>
      </c>
    </row>
    <row r="669" ht="20" customHeight="1">
      <c r="A669" s="7" t="n">
        <v>46049</v>
      </c>
      <c r="B669" s="8" t="inlineStr">
        <is>
          <t>Invoice</t>
        </is>
      </c>
      <c r="C669" s="8" t="inlineStr">
        <is>
          <t>48994</t>
        </is>
      </c>
      <c r="D669" s="9" t="inlineStr"/>
      <c r="E669" s="10" t="n">
        <v>2613.42</v>
      </c>
      <c r="F669" s="10" t="n">
        <v>109415.81</v>
      </c>
    </row>
    <row r="670" ht="20" customHeight="1">
      <c r="A670" s="3" t="n">
        <v>46054</v>
      </c>
      <c r="B670" s="4" t="inlineStr">
        <is>
          <t>Opening Balance</t>
        </is>
      </c>
      <c r="C670" s="4" t="inlineStr"/>
      <c r="D670" s="5" t="inlineStr"/>
      <c r="E670" s="6" t="n"/>
      <c r="F670" s="6" t="n">
        <v>109415.81</v>
      </c>
    </row>
    <row r="671" ht="20" customHeight="1">
      <c r="A671" s="7" t="n">
        <v>46057</v>
      </c>
      <c r="B671" s="8" t="inlineStr">
        <is>
          <t>Payment</t>
        </is>
      </c>
      <c r="C671" s="8" t="inlineStr">
        <is>
          <t>00043199</t>
        </is>
      </c>
      <c r="D671" s="9" t="inlineStr"/>
      <c r="E671" s="10" t="n">
        <v>-15578.23</v>
      </c>
      <c r="F671" s="10" t="n">
        <v>93837.58</v>
      </c>
    </row>
    <row r="672" ht="20" customHeight="1">
      <c r="A672" s="3" t="n">
        <v>46058</v>
      </c>
      <c r="B672" s="4" t="inlineStr">
        <is>
          <t>Invoice</t>
        </is>
      </c>
      <c r="C672" s="4" t="inlineStr">
        <is>
          <t>49126</t>
        </is>
      </c>
      <c r="D672" s="5" t="inlineStr"/>
      <c r="E672" s="6" t="n">
        <v>3959.98</v>
      </c>
      <c r="F672" s="6" t="n">
        <v>97797.56</v>
      </c>
    </row>
    <row r="673" ht="20" customHeight="1">
      <c r="A673" s="7" t="n">
        <v>46065</v>
      </c>
      <c r="B673" s="8" t="inlineStr">
        <is>
          <t>Invoice</t>
        </is>
      </c>
      <c r="C673" s="8" t="inlineStr">
        <is>
          <t>49242</t>
        </is>
      </c>
      <c r="D673" s="9" t="inlineStr"/>
      <c r="E673" s="10" t="n">
        <v>2639.99</v>
      </c>
      <c r="F673" s="10" t="n">
        <v>100437.55</v>
      </c>
    </row>
    <row r="674" ht="20" customHeight="1">
      <c r="A674" s="3" t="n">
        <v>46070</v>
      </c>
      <c r="B674" s="4" t="inlineStr">
        <is>
          <t>Invoice</t>
        </is>
      </c>
      <c r="C674" s="4" t="inlineStr">
        <is>
          <t>49315</t>
        </is>
      </c>
      <c r="D674" s="5" t="inlineStr"/>
      <c r="E674" s="6" t="n">
        <v>3959.98</v>
      </c>
      <c r="F674" s="6" t="n">
        <v>104397.53</v>
      </c>
    </row>
    <row r="675" ht="20" customHeight="1">
      <c r="A675" s="7" t="n">
        <v>46082</v>
      </c>
      <c r="B675" s="8" t="inlineStr">
        <is>
          <t>Opening Balance</t>
        </is>
      </c>
      <c r="C675" s="8" t="inlineStr"/>
      <c r="D675" s="9" t="inlineStr"/>
      <c r="E675" s="10" t="n"/>
      <c r="F675" s="10" t="n">
        <v>104397.53</v>
      </c>
    </row>
    <row r="676" ht="20" customHeight="1">
      <c r="A676" s="3" t="n">
        <v>46083</v>
      </c>
      <c r="B676" s="4" t="inlineStr">
        <is>
          <t>Invoice</t>
        </is>
      </c>
      <c r="C676" s="4" t="inlineStr">
        <is>
          <t>49530</t>
        </is>
      </c>
      <c r="D676" s="5" t="inlineStr"/>
      <c r="E676" s="6" t="n">
        <v>3959.98</v>
      </c>
      <c r="F676" s="6" t="n">
        <v>108357.51</v>
      </c>
    </row>
    <row r="677" ht="20" customHeight="1">
      <c r="A677" s="7" t="n">
        <v>46084</v>
      </c>
      <c r="B677" s="8" t="inlineStr">
        <is>
          <t>Invoice</t>
        </is>
      </c>
      <c r="C677" s="8" t="inlineStr">
        <is>
          <t>49540</t>
        </is>
      </c>
      <c r="D677" s="9" t="inlineStr"/>
      <c r="E677" s="10" t="n">
        <v>3959.98</v>
      </c>
      <c r="F677" s="10" t="n">
        <v>112317.49</v>
      </c>
    </row>
    <row r="678" ht="20" customHeight="1">
      <c r="A678" s="3" t="n">
        <v>46084</v>
      </c>
      <c r="B678" s="4" t="inlineStr">
        <is>
          <t>Crd Note</t>
        </is>
      </c>
      <c r="C678" s="4" t="inlineStr">
        <is>
          <t>14526</t>
        </is>
      </c>
      <c r="D678" s="5" t="inlineStr"/>
      <c r="E678" s="6" t="n">
        <v>-3959.98</v>
      </c>
      <c r="F678" s="6" t="n">
        <v>108357.51</v>
      </c>
    </row>
    <row r="679" ht="20" customHeight="1">
      <c r="A679" s="7" t="n">
        <v>46093</v>
      </c>
      <c r="B679" s="8" t="inlineStr">
        <is>
          <t>Invoice</t>
        </is>
      </c>
      <c r="C679" s="8" t="inlineStr">
        <is>
          <t>49727</t>
        </is>
      </c>
      <c r="D679" s="9" t="inlineStr"/>
      <c r="E679" s="10" t="n">
        <v>3988.79</v>
      </c>
      <c r="F679" s="10" t="n">
        <v>112346.3</v>
      </c>
    </row>
    <row r="680" ht="20" customHeight="1">
      <c r="A680" s="3" t="n">
        <v>46100</v>
      </c>
      <c r="B680" s="4" t="inlineStr">
        <is>
          <t>Invoice</t>
        </is>
      </c>
      <c r="C680" s="4" t="inlineStr">
        <is>
          <t>49842</t>
        </is>
      </c>
      <c r="D680" s="5" t="inlineStr"/>
      <c r="E680" s="6" t="n">
        <v>3988.79</v>
      </c>
      <c r="F680" s="6" t="n">
        <v>116335.09</v>
      </c>
    </row>
    <row r="681" ht="20" customHeight="1">
      <c r="A681" s="7" t="n">
        <v>46112</v>
      </c>
      <c r="B681" s="8" t="inlineStr">
        <is>
          <t>Invoice</t>
        </is>
      </c>
      <c r="C681" s="8" t="inlineStr">
        <is>
          <t>50042</t>
        </is>
      </c>
      <c r="D681" s="9" t="inlineStr"/>
      <c r="E681" s="10" t="n">
        <v>3988.79</v>
      </c>
      <c r="F681" s="10" t="n">
        <v>120323.88</v>
      </c>
    </row>
    <row r="682" ht="20" customHeight="1">
      <c r="A682" s="3" t="n">
        <v>46113</v>
      </c>
      <c r="B682" s="4" t="inlineStr">
        <is>
          <t>Opening Balance</t>
        </is>
      </c>
      <c r="C682" s="4" t="inlineStr"/>
      <c r="D682" s="5" t="inlineStr"/>
      <c r="E682" s="6" t="n"/>
      <c r="F682" s="6" t="n">
        <v>120323.88</v>
      </c>
    </row>
    <row r="683" ht="20" customHeight="1">
      <c r="A683" s="7" t="n">
        <v>46120</v>
      </c>
      <c r="B683" s="8" t="inlineStr">
        <is>
          <t>Invoice</t>
        </is>
      </c>
      <c r="C683" s="8" t="inlineStr">
        <is>
          <t>50161</t>
        </is>
      </c>
      <c r="D683" s="9" t="inlineStr"/>
      <c r="E683" s="10" t="n">
        <v>4420.8</v>
      </c>
      <c r="F683" s="10" t="n">
        <v>124744.68</v>
      </c>
    </row>
    <row r="684" ht="20" customHeight="1">
      <c r="A684" s="3" t="n">
        <v>46129</v>
      </c>
      <c r="B684" s="4" t="inlineStr">
        <is>
          <t>Invoice</t>
        </is>
      </c>
      <c r="C684" s="4" t="inlineStr">
        <is>
          <t>50290</t>
        </is>
      </c>
      <c r="D684" s="5" t="inlineStr"/>
      <c r="E684" s="6" t="n">
        <v>2947.2</v>
      </c>
      <c r="F684" s="6" t="n">
        <v>127691.88</v>
      </c>
    </row>
    <row r="685" ht="20" customHeight="1">
      <c r="A685" s="7" t="n">
        <v>46135</v>
      </c>
      <c r="B685" s="8" t="inlineStr">
        <is>
          <t>Invoice</t>
        </is>
      </c>
      <c r="C685" s="8" t="inlineStr">
        <is>
          <t>50371</t>
        </is>
      </c>
      <c r="D685" s="9" t="inlineStr"/>
      <c r="E685" s="10" t="n">
        <v>2947.2</v>
      </c>
      <c r="F685" s="10" t="n">
        <v>130639.08</v>
      </c>
    </row>
    <row r="686" ht="20" customHeight="1">
      <c r="A686" s="3" t="n">
        <v>46142</v>
      </c>
      <c r="B686" s="4" t="inlineStr">
        <is>
          <t>Invoice</t>
        </is>
      </c>
      <c r="C686" s="4" t="inlineStr">
        <is>
          <t>50468</t>
        </is>
      </c>
      <c r="D686" s="5" t="inlineStr"/>
      <c r="E686" s="6" t="n">
        <v>4420.8</v>
      </c>
      <c r="F686" s="6" t="n">
        <v>135059.88</v>
      </c>
    </row>
    <row r="687" ht="20" customHeight="1">
      <c r="A687" s="7" t="n">
        <v>46143</v>
      </c>
      <c r="B687" s="8" t="inlineStr">
        <is>
          <t>Opening Balance</t>
        </is>
      </c>
      <c r="C687" s="8" t="inlineStr"/>
      <c r="D687" s="9" t="inlineStr"/>
      <c r="E687" s="10" t="n"/>
      <c r="F687" s="10" t="n">
        <v>135059.88</v>
      </c>
    </row>
    <row r="688" ht="20" customHeight="1">
      <c r="A688" s="3" t="n">
        <v>46150</v>
      </c>
      <c r="B688" s="4" t="inlineStr">
        <is>
          <t>Invoice</t>
        </is>
      </c>
      <c r="C688" s="4" t="inlineStr">
        <is>
          <t>50594</t>
        </is>
      </c>
      <c r="D688" s="5" t="inlineStr"/>
      <c r="E688" s="6" t="n">
        <v>3370.81</v>
      </c>
      <c r="F688" s="6" t="n">
        <v>138430.69</v>
      </c>
    </row>
    <row r="689" ht="20" customHeight="1">
      <c r="A689" s="7" t="n">
        <v>46157</v>
      </c>
      <c r="B689" s="8" t="inlineStr">
        <is>
          <t>Invoice</t>
        </is>
      </c>
      <c r="C689" s="8" t="inlineStr">
        <is>
          <t>50712</t>
        </is>
      </c>
      <c r="D689" s="9" t="inlineStr"/>
      <c r="E689" s="10" t="n">
        <v>3370.81</v>
      </c>
      <c r="F689" s="10" t="n">
        <v>141801.5</v>
      </c>
    </row>
    <row r="690" ht="20" customHeight="1">
      <c r="A690" s="3" t="n">
        <v>46162</v>
      </c>
      <c r="B690" s="4" t="inlineStr">
        <is>
          <t>Invoice</t>
        </is>
      </c>
      <c r="C690" s="4" t="inlineStr">
        <is>
          <t>50810</t>
        </is>
      </c>
      <c r="D690" s="5" t="inlineStr"/>
      <c r="E690" s="6" t="n">
        <v>5056.22</v>
      </c>
      <c r="F690" s="6" t="n">
        <v>146857.72</v>
      </c>
    </row>
    <row r="691">
      <c r="A691" s="11" t="inlineStr">
        <is>
          <t>Closing LPG Debt Balance</t>
        </is>
      </c>
      <c r="B691" s="12" t="n"/>
      <c r="C691" s="12" t="n"/>
      <c r="D691" s="12" t="n"/>
      <c r="E691" s="12" t="n"/>
      <c r="F691" s="13">
        <f>F690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5" customWidth="1" min="4" max="4"/>
    <col width="13" customWidth="1" min="5" max="5"/>
    <col width="16" customWidth="1" min="6" max="6"/>
  </cols>
  <sheetData>
    <row r="1" ht="30" customHeight="1">
      <c r="A1" s="1" t="inlineStr">
        <is>
          <t>Jim Gas (JIM001) - Complete Payments Ledger (Database Raw)</t>
        </is>
      </c>
    </row>
    <row r="2" ht="10" customHeight="1"/>
    <row r="3" ht="25" customHeight="1">
      <c r="A3" s="2" t="inlineStr">
        <is>
          <t>Date</t>
        </is>
      </c>
      <c r="B3" s="2" t="inlineStr">
        <is>
          <t>Doc #</t>
        </is>
      </c>
      <c r="C3" s="2" t="inlineStr">
        <is>
          <t>Ref #</t>
        </is>
      </c>
      <c r="D3" s="2" t="inlineStr">
        <is>
          <t>Description</t>
        </is>
      </c>
      <c r="E3" s="2" t="inlineStr">
        <is>
          <t>Batch Ref</t>
        </is>
      </c>
      <c r="F3" s="2" t="inlineStr">
        <is>
          <t>Amount</t>
        </is>
      </c>
    </row>
    <row r="4" ht="20" customHeight="1">
      <c r="A4" s="3" t="n">
        <v>43452</v>
      </c>
      <c r="B4" s="4" t="inlineStr">
        <is>
          <t>00004832</t>
        </is>
      </c>
      <c r="C4" s="5" t="inlineStr">
        <is>
          <t>00004542</t>
        </is>
      </c>
      <c r="D4" s="5" t="inlineStr">
        <is>
          <t>TRANSF</t>
        </is>
      </c>
      <c r="E4" s="4" t="inlineStr">
        <is>
          <t>EASYREC</t>
        </is>
      </c>
      <c r="F4" s="6" t="n">
        <v>-3750</v>
      </c>
    </row>
    <row r="5" ht="20" customHeight="1">
      <c r="A5" s="7" t="n">
        <v>43463</v>
      </c>
      <c r="B5" s="8" t="inlineStr">
        <is>
          <t>00004839</t>
        </is>
      </c>
      <c r="C5" s="9" t="inlineStr">
        <is>
          <t>00004553</t>
        </is>
      </c>
      <c r="D5" s="9" t="inlineStr">
        <is>
          <t>TRANSF</t>
        </is>
      </c>
      <c r="E5" s="8" t="inlineStr">
        <is>
          <t>EASYREC</t>
        </is>
      </c>
      <c r="F5" s="10" t="n">
        <v>-4250</v>
      </c>
    </row>
    <row r="6" ht="20" customHeight="1">
      <c r="A6" s="3" t="n">
        <v>43470</v>
      </c>
      <c r="B6" s="4" t="inlineStr">
        <is>
          <t>00004807</t>
        </is>
      </c>
      <c r="C6" s="5" t="inlineStr">
        <is>
          <t>00004566</t>
        </is>
      </c>
      <c r="D6" s="5" t="inlineStr">
        <is>
          <t>CASH</t>
        </is>
      </c>
      <c r="E6" s="4" t="inlineStr">
        <is>
          <t>T3000210</t>
        </is>
      </c>
      <c r="F6" s="6" t="n">
        <v>-700.01</v>
      </c>
    </row>
    <row r="7" ht="20" customHeight="1">
      <c r="A7" s="7" t="n">
        <v>43474</v>
      </c>
      <c r="B7" s="8" t="inlineStr">
        <is>
          <t>00004898</t>
        </is>
      </c>
      <c r="C7" s="9" t="inlineStr">
        <is>
          <t>00004565</t>
        </is>
      </c>
      <c r="D7" s="9" t="inlineStr">
        <is>
          <t>TRANSF</t>
        </is>
      </c>
      <c r="E7" s="8" t="inlineStr">
        <is>
          <t>EASYREC</t>
        </is>
      </c>
      <c r="F7" s="10" t="n">
        <v>-8500</v>
      </c>
    </row>
    <row r="8" ht="20" customHeight="1">
      <c r="A8" s="3" t="n">
        <v>43475</v>
      </c>
      <c r="B8" s="4" t="inlineStr">
        <is>
          <t>00004841</t>
        </is>
      </c>
      <c r="C8" s="5" t="inlineStr">
        <is>
          <t>00004617</t>
        </is>
      </c>
      <c r="D8" s="5" t="inlineStr">
        <is>
          <t>CASH</t>
        </is>
      </c>
      <c r="E8" s="4" t="inlineStr">
        <is>
          <t>T3000214</t>
        </is>
      </c>
      <c r="F8" s="6" t="n">
        <v>-700.01</v>
      </c>
    </row>
    <row r="9" ht="20" customHeight="1">
      <c r="A9" s="7" t="n">
        <v>43486</v>
      </c>
      <c r="B9" s="8" t="inlineStr">
        <is>
          <t>00004904</t>
        </is>
      </c>
      <c r="C9" s="9" t="inlineStr"/>
      <c r="D9" s="9" t="inlineStr">
        <is>
          <t>TRANSF</t>
        </is>
      </c>
      <c r="E9" s="8" t="inlineStr">
        <is>
          <t>EASYREC</t>
        </is>
      </c>
      <c r="F9" s="10" t="n">
        <v>-7000</v>
      </c>
    </row>
    <row r="10" ht="20" customHeight="1">
      <c r="A10" s="3" t="n">
        <v>43503</v>
      </c>
      <c r="B10" s="4" t="inlineStr">
        <is>
          <t>00005043</t>
        </is>
      </c>
      <c r="C10" s="5" t="inlineStr"/>
      <c r="D10" s="5" t="inlineStr">
        <is>
          <t>TRANSF</t>
        </is>
      </c>
      <c r="E10" s="4" t="inlineStr">
        <is>
          <t>EASYREC</t>
        </is>
      </c>
      <c r="F10" s="6" t="n">
        <v>-4870</v>
      </c>
    </row>
    <row r="11" ht="20" customHeight="1">
      <c r="A11" s="7" t="n">
        <v>43515</v>
      </c>
      <c r="B11" s="8" t="inlineStr">
        <is>
          <t>00005047</t>
        </is>
      </c>
      <c r="C11" s="9" t="inlineStr"/>
      <c r="D11" s="9" t="inlineStr">
        <is>
          <t>TRANSF</t>
        </is>
      </c>
      <c r="E11" s="8" t="inlineStr">
        <is>
          <t>EASYREC</t>
        </is>
      </c>
      <c r="F11" s="10" t="n">
        <v>-6827.39</v>
      </c>
    </row>
    <row r="12" ht="20" customHeight="1">
      <c r="A12" s="3" t="n">
        <v>43579</v>
      </c>
      <c r="B12" s="4" t="inlineStr">
        <is>
          <t>00005437</t>
        </is>
      </c>
      <c r="C12" s="5" t="inlineStr"/>
      <c r="D12" s="5" t="inlineStr">
        <is>
          <t>TRANSF</t>
        </is>
      </c>
      <c r="E12" s="4" t="inlineStr">
        <is>
          <t>STAT 162</t>
        </is>
      </c>
      <c r="F12" s="6" t="n">
        <v>-9925</v>
      </c>
    </row>
    <row r="13" ht="20" customHeight="1">
      <c r="A13" s="7" t="n">
        <v>43591</v>
      </c>
      <c r="B13" s="8" t="inlineStr">
        <is>
          <t>00005436</t>
        </is>
      </c>
      <c r="C13" s="9" t="inlineStr"/>
      <c r="D13" s="9" t="inlineStr">
        <is>
          <t>TRANSF</t>
        </is>
      </c>
      <c r="E13" s="8" t="inlineStr">
        <is>
          <t>STAT 163</t>
        </is>
      </c>
      <c r="F13" s="10" t="n">
        <v>-13505</v>
      </c>
    </row>
    <row r="14" ht="20" customHeight="1">
      <c r="A14" s="3" t="n">
        <v>43636</v>
      </c>
      <c r="B14" s="4" t="inlineStr">
        <is>
          <t>00005618</t>
        </is>
      </c>
      <c r="C14" s="5" t="inlineStr">
        <is>
          <t>00005297</t>
        </is>
      </c>
      <c r="D14" s="5" t="inlineStr">
        <is>
          <t>TRANSF</t>
        </is>
      </c>
      <c r="E14" s="4" t="inlineStr">
        <is>
          <t>STAT 163</t>
        </is>
      </c>
      <c r="F14" s="6" t="n">
        <v>-8625</v>
      </c>
    </row>
    <row r="15" ht="20" customHeight="1">
      <c r="A15" s="7" t="n">
        <v>43650</v>
      </c>
      <c r="B15" s="8" t="inlineStr">
        <is>
          <t>00005804</t>
        </is>
      </c>
      <c r="C15" s="9" t="inlineStr">
        <is>
          <t>00005453</t>
        </is>
      </c>
      <c r="D15" s="9" t="inlineStr">
        <is>
          <t>TRANSF</t>
        </is>
      </c>
      <c r="E15" s="8" t="inlineStr">
        <is>
          <t>STAT165</t>
        </is>
      </c>
      <c r="F15" s="10" t="n">
        <v>-12750</v>
      </c>
    </row>
    <row r="16" ht="20" customHeight="1">
      <c r="A16" s="3" t="n">
        <v>43654</v>
      </c>
      <c r="B16" s="4" t="inlineStr">
        <is>
          <t>00005226</t>
        </is>
      </c>
      <c r="C16" s="5" t="inlineStr"/>
      <c r="D16" s="5" t="inlineStr">
        <is>
          <t>TRANSF</t>
        </is>
      </c>
      <c r="E16" s="4" t="inlineStr">
        <is>
          <t>STAT 161</t>
        </is>
      </c>
      <c r="F16" s="6" t="n">
        <v>-3000</v>
      </c>
    </row>
    <row r="17" ht="20" customHeight="1">
      <c r="A17" s="7" t="n">
        <v>43683</v>
      </c>
      <c r="B17" s="8" t="inlineStr">
        <is>
          <t>00005876</t>
        </is>
      </c>
      <c r="C17" s="9" t="inlineStr">
        <is>
          <t>00005157</t>
        </is>
      </c>
      <c r="D17" s="9" t="inlineStr">
        <is>
          <t>TRANSF</t>
        </is>
      </c>
      <c r="E17" s="8" t="inlineStr">
        <is>
          <t>STAT166</t>
        </is>
      </c>
      <c r="F17" s="10" t="n">
        <v>-14429</v>
      </c>
    </row>
    <row r="18" ht="20" customHeight="1">
      <c r="A18" s="3" t="n">
        <v>43712</v>
      </c>
      <c r="B18" s="4" t="inlineStr">
        <is>
          <t>00005988</t>
        </is>
      </c>
      <c r="C18" s="5" t="inlineStr"/>
      <c r="D18" s="5" t="inlineStr">
        <is>
          <t>TRANSF</t>
        </is>
      </c>
      <c r="E18" s="4" t="inlineStr">
        <is>
          <t>STAT167</t>
        </is>
      </c>
      <c r="F18" s="6" t="n">
        <v>-13875</v>
      </c>
    </row>
    <row r="19" ht="20" customHeight="1">
      <c r="A19" s="7" t="n">
        <v>43759</v>
      </c>
      <c r="B19" s="8" t="inlineStr">
        <is>
          <t>00006104</t>
        </is>
      </c>
      <c r="C19" s="9" t="inlineStr">
        <is>
          <t>00005900</t>
        </is>
      </c>
      <c r="D19" s="9" t="inlineStr">
        <is>
          <t>TRANSF</t>
        </is>
      </c>
      <c r="E19" s="8" t="inlineStr">
        <is>
          <t>STAT168</t>
        </is>
      </c>
      <c r="F19" s="10" t="n">
        <v>-13875</v>
      </c>
    </row>
    <row r="20" ht="20" customHeight="1">
      <c r="A20" s="3" t="n">
        <v>43808</v>
      </c>
      <c r="B20" s="4" t="inlineStr">
        <is>
          <t>00006316</t>
        </is>
      </c>
      <c r="C20" s="5" t="inlineStr">
        <is>
          <t>00006000</t>
        </is>
      </c>
      <c r="D20" s="5" t="inlineStr">
        <is>
          <t>TRANSF</t>
        </is>
      </c>
      <c r="E20" s="4" t="inlineStr">
        <is>
          <t>STAT170</t>
        </is>
      </c>
      <c r="F20" s="6" t="n">
        <v>-10875</v>
      </c>
    </row>
    <row r="21" ht="20" customHeight="1">
      <c r="A21" s="7" t="n">
        <v>43823</v>
      </c>
      <c r="B21" s="8" t="inlineStr">
        <is>
          <t>00006381</t>
        </is>
      </c>
      <c r="C21" s="9" t="inlineStr"/>
      <c r="D21" s="9" t="inlineStr">
        <is>
          <t>TRANSF</t>
        </is>
      </c>
      <c r="E21" s="8" t="inlineStr">
        <is>
          <t>STAT170</t>
        </is>
      </c>
      <c r="F21" s="10" t="n">
        <v>-930</v>
      </c>
    </row>
    <row r="22" ht="20" customHeight="1">
      <c r="A22" s="3" t="n">
        <v>43826</v>
      </c>
      <c r="B22" s="4" t="inlineStr">
        <is>
          <t>00006376</t>
        </is>
      </c>
      <c r="C22" s="5" t="inlineStr">
        <is>
          <t>00006028</t>
        </is>
      </c>
      <c r="D22" s="5" t="inlineStr">
        <is>
          <t>TRANSF</t>
        </is>
      </c>
      <c r="E22" s="4" t="inlineStr">
        <is>
          <t>STAT170</t>
        </is>
      </c>
      <c r="F22" s="6" t="n">
        <v>-12915</v>
      </c>
    </row>
    <row r="23" ht="20" customHeight="1">
      <c r="A23" s="7" t="n">
        <v>43847</v>
      </c>
      <c r="B23" s="8" t="inlineStr">
        <is>
          <t>00006423</t>
        </is>
      </c>
      <c r="C23" s="9" t="inlineStr"/>
      <c r="D23" s="9" t="inlineStr">
        <is>
          <t>TRANSF</t>
        </is>
      </c>
      <c r="E23" s="8" t="inlineStr">
        <is>
          <t>STAT171</t>
        </is>
      </c>
      <c r="F23" s="10" t="n">
        <v>-12715</v>
      </c>
    </row>
    <row r="24" ht="20" customHeight="1">
      <c r="A24" s="3" t="n">
        <v>43893</v>
      </c>
      <c r="B24" s="4" t="inlineStr">
        <is>
          <t>00006685</t>
        </is>
      </c>
      <c r="C24" s="5" t="inlineStr"/>
      <c r="D24" s="5" t="inlineStr">
        <is>
          <t>TRANSF</t>
        </is>
      </c>
      <c r="E24" s="4" t="inlineStr">
        <is>
          <t>STAT173</t>
        </is>
      </c>
      <c r="F24" s="6" t="n">
        <v>-15302.8</v>
      </c>
    </row>
    <row r="25" ht="20" customHeight="1">
      <c r="A25" s="7" t="n">
        <v>43986</v>
      </c>
      <c r="B25" s="8" t="inlineStr">
        <is>
          <t>00007216</t>
        </is>
      </c>
      <c r="C25" s="9" t="inlineStr"/>
      <c r="D25" s="9" t="inlineStr">
        <is>
          <t>TRANSF</t>
        </is>
      </c>
      <c r="E25" s="8" t="inlineStr">
        <is>
          <t>JUNE1</t>
        </is>
      </c>
      <c r="F25" s="10" t="n">
        <v>-3250</v>
      </c>
    </row>
    <row r="26" ht="20" customHeight="1">
      <c r="A26" s="3" t="n">
        <v>44011</v>
      </c>
      <c r="B26" s="4" t="inlineStr">
        <is>
          <t>00007226</t>
        </is>
      </c>
      <c r="C26" s="5" t="inlineStr">
        <is>
          <t>00006428</t>
        </is>
      </c>
      <c r="D26" s="5" t="inlineStr">
        <is>
          <t>TRANSF</t>
        </is>
      </c>
      <c r="E26" s="4" t="inlineStr">
        <is>
          <t>JUNE1</t>
        </is>
      </c>
      <c r="F26" s="6" t="n">
        <v>-5000</v>
      </c>
    </row>
    <row r="27" ht="20" customHeight="1">
      <c r="A27" s="7" t="n">
        <v>44047</v>
      </c>
      <c r="B27" s="8" t="inlineStr">
        <is>
          <t>00007348</t>
        </is>
      </c>
      <c r="C27" s="9" t="inlineStr">
        <is>
          <t>00006446</t>
        </is>
      </c>
      <c r="D27" s="9" t="inlineStr">
        <is>
          <t>TRANSF</t>
        </is>
      </c>
      <c r="E27" s="8" t="inlineStr">
        <is>
          <t>STAT178</t>
        </is>
      </c>
      <c r="F27" s="10" t="n">
        <v>-3000</v>
      </c>
    </row>
    <row r="28" ht="20" customHeight="1">
      <c r="A28" s="3" t="n">
        <v>44078</v>
      </c>
      <c r="B28" s="4" t="inlineStr">
        <is>
          <t>00007489</t>
        </is>
      </c>
      <c r="C28" s="5" t="inlineStr">
        <is>
          <t>00005522</t>
        </is>
      </c>
      <c r="D28" s="5" t="inlineStr">
        <is>
          <t>TRANSF</t>
        </is>
      </c>
      <c r="E28" s="4" t="inlineStr">
        <is>
          <t>STAT179</t>
        </is>
      </c>
      <c r="F28" s="6" t="n">
        <v>-5000</v>
      </c>
    </row>
    <row r="29" ht="20" customHeight="1">
      <c r="A29" s="7" t="n">
        <v>44140</v>
      </c>
      <c r="B29" s="8" t="inlineStr">
        <is>
          <t>00007572</t>
        </is>
      </c>
      <c r="C29" s="9" t="inlineStr">
        <is>
          <t>00005593</t>
        </is>
      </c>
      <c r="D29" s="9" t="inlineStr">
        <is>
          <t>TRANSF</t>
        </is>
      </c>
      <c r="E29" s="8" t="inlineStr">
        <is>
          <t>STAT181</t>
        </is>
      </c>
      <c r="F29" s="10" t="n">
        <v>-5125</v>
      </c>
    </row>
    <row r="30" ht="20" customHeight="1">
      <c r="A30" s="3" t="n">
        <v>44295</v>
      </c>
      <c r="B30" s="4" t="inlineStr">
        <is>
          <t>00008420</t>
        </is>
      </c>
      <c r="C30" s="5" t="inlineStr">
        <is>
          <t>Alloc</t>
        </is>
      </c>
      <c r="D30" s="5" t="inlineStr">
        <is>
          <t>TRANSF</t>
        </is>
      </c>
      <c r="E30" s="4" t="inlineStr">
        <is>
          <t>STAT186</t>
        </is>
      </c>
      <c r="F30" s="6" t="n">
        <v>-12518.21</v>
      </c>
    </row>
    <row r="31" ht="20" customHeight="1">
      <c r="A31" s="7" t="n">
        <v>44327</v>
      </c>
      <c r="B31" s="8" t="inlineStr">
        <is>
          <t>00008764</t>
        </is>
      </c>
      <c r="C31" s="9" t="inlineStr">
        <is>
          <t>Alloc</t>
        </is>
      </c>
      <c r="D31" s="9" t="inlineStr">
        <is>
          <t>TRANSF</t>
        </is>
      </c>
      <c r="E31" s="8" t="inlineStr">
        <is>
          <t>STAT187</t>
        </is>
      </c>
      <c r="F31" s="10" t="n">
        <v>-9765.76</v>
      </c>
    </row>
    <row r="32" ht="20" customHeight="1">
      <c r="A32" s="3" t="n">
        <v>44350</v>
      </c>
      <c r="B32" s="4" t="inlineStr">
        <is>
          <t>00009315</t>
        </is>
      </c>
      <c r="C32" s="5" t="inlineStr">
        <is>
          <t>Alloc</t>
        </is>
      </c>
      <c r="D32" s="5" t="inlineStr">
        <is>
          <t>TRANSF</t>
        </is>
      </c>
      <c r="E32" s="4" t="inlineStr">
        <is>
          <t>STAT188</t>
        </is>
      </c>
      <c r="F32" s="6" t="n">
        <v>-12222.9</v>
      </c>
    </row>
    <row r="33" ht="20" customHeight="1">
      <c r="A33" s="7" t="n">
        <v>44378</v>
      </c>
      <c r="B33" s="8" t="inlineStr">
        <is>
          <t>00009996</t>
        </is>
      </c>
      <c r="C33" s="9" t="inlineStr">
        <is>
          <t>Alloc</t>
        </is>
      </c>
      <c r="D33" s="9" t="inlineStr">
        <is>
          <t>TRANSF</t>
        </is>
      </c>
      <c r="E33" s="8" t="inlineStr">
        <is>
          <t>STAT189</t>
        </is>
      </c>
      <c r="F33" s="10" t="n">
        <v>-11292.11</v>
      </c>
    </row>
    <row r="34" ht="20" customHeight="1">
      <c r="A34" s="3" t="n">
        <v>44413</v>
      </c>
      <c r="B34" s="4" t="inlineStr">
        <is>
          <t>00010226</t>
        </is>
      </c>
      <c r="C34" s="5" t="inlineStr">
        <is>
          <t>00009517</t>
        </is>
      </c>
      <c r="D34" s="5" t="inlineStr">
        <is>
          <t>TRANSF</t>
        </is>
      </c>
      <c r="E34" s="4" t="inlineStr">
        <is>
          <t>STAT190</t>
        </is>
      </c>
      <c r="F34" s="6" t="n">
        <v>-9079.940000000001</v>
      </c>
    </row>
    <row r="35" ht="20" customHeight="1">
      <c r="A35" s="7" t="n">
        <v>44441</v>
      </c>
      <c r="B35" s="8" t="inlineStr">
        <is>
          <t>00010584</t>
        </is>
      </c>
      <c r="C35" s="9" t="inlineStr">
        <is>
          <t>00012761</t>
        </is>
      </c>
      <c r="D35" s="9" t="inlineStr">
        <is>
          <t>TRANSF</t>
        </is>
      </c>
      <c r="E35" s="8" t="inlineStr">
        <is>
          <t>STAT191</t>
        </is>
      </c>
      <c r="F35" s="10" t="n">
        <v>-13012.5</v>
      </c>
    </row>
    <row r="36" ht="20" customHeight="1">
      <c r="A36" s="3" t="n">
        <v>44476</v>
      </c>
      <c r="B36" s="4" t="inlineStr">
        <is>
          <t>00011068</t>
        </is>
      </c>
      <c r="C36" s="5" t="inlineStr">
        <is>
          <t>00010409</t>
        </is>
      </c>
      <c r="D36" s="5" t="inlineStr">
        <is>
          <t>TRANSF</t>
        </is>
      </c>
      <c r="E36" s="4" t="inlineStr">
        <is>
          <t>STAT192</t>
        </is>
      </c>
      <c r="F36" s="6" t="n">
        <v>-13260.28</v>
      </c>
    </row>
    <row r="37" ht="20" customHeight="1">
      <c r="A37" s="7" t="n">
        <v>44504</v>
      </c>
      <c r="B37" s="8" t="inlineStr">
        <is>
          <t>00011558</t>
        </is>
      </c>
      <c r="C37" s="9" t="inlineStr">
        <is>
          <t>00011230</t>
        </is>
      </c>
      <c r="D37" s="9" t="inlineStr">
        <is>
          <t>TRANSF</t>
        </is>
      </c>
      <c r="E37" s="8" t="inlineStr">
        <is>
          <t>STAT193</t>
        </is>
      </c>
      <c r="F37" s="10" t="n">
        <v>-12929.71</v>
      </c>
    </row>
    <row r="38" ht="20" customHeight="1">
      <c r="A38" s="3" t="n">
        <v>44550</v>
      </c>
      <c r="B38" s="4" t="inlineStr">
        <is>
          <t>00012146</t>
        </is>
      </c>
      <c r="C38" s="5" t="inlineStr">
        <is>
          <t>00011442</t>
        </is>
      </c>
      <c r="D38" s="5" t="inlineStr">
        <is>
          <t>TRANSF</t>
        </is>
      </c>
      <c r="E38" s="4" t="inlineStr">
        <is>
          <t>STAT194</t>
        </is>
      </c>
      <c r="F38" s="6" t="n">
        <v>-12160.3</v>
      </c>
    </row>
    <row r="39" ht="20" customHeight="1">
      <c r="A39" s="7" t="n">
        <v>44592</v>
      </c>
      <c r="B39" s="8" t="inlineStr">
        <is>
          <t>00012719</t>
        </is>
      </c>
      <c r="C39" s="9" t="inlineStr">
        <is>
          <t>00011819</t>
        </is>
      </c>
      <c r="D39" s="9" t="inlineStr">
        <is>
          <t>TRANSF</t>
        </is>
      </c>
      <c r="E39" s="8" t="inlineStr">
        <is>
          <t>STAT196</t>
        </is>
      </c>
      <c r="F39" s="10" t="n">
        <v>-17018.3</v>
      </c>
    </row>
    <row r="40" ht="20" customHeight="1">
      <c r="A40" s="3" t="n">
        <v>44637</v>
      </c>
      <c r="B40" s="4" t="inlineStr">
        <is>
          <t>00013245</t>
        </is>
      </c>
      <c r="C40" s="5" t="inlineStr">
        <is>
          <t>00012088</t>
        </is>
      </c>
      <c r="D40" s="5" t="inlineStr">
        <is>
          <t>TRANSF</t>
        </is>
      </c>
      <c r="E40" s="4" t="inlineStr">
        <is>
          <t>STAT197</t>
        </is>
      </c>
      <c r="F40" s="6" t="n">
        <v>-14982.58</v>
      </c>
    </row>
    <row r="41" ht="20" customHeight="1">
      <c r="A41" s="7" t="n">
        <v>44663</v>
      </c>
      <c r="B41" s="8" t="inlineStr">
        <is>
          <t>00013583</t>
        </is>
      </c>
      <c r="C41" s="9" t="inlineStr">
        <is>
          <t>00012403</t>
        </is>
      </c>
      <c r="D41" s="9" t="inlineStr">
        <is>
          <t>TRANSF</t>
        </is>
      </c>
      <c r="E41" s="8" t="inlineStr">
        <is>
          <t>STAT198</t>
        </is>
      </c>
      <c r="F41" s="10" t="n">
        <v>-13949</v>
      </c>
    </row>
    <row r="42" ht="20" customHeight="1">
      <c r="A42" s="3" t="n">
        <v>44713</v>
      </c>
      <c r="B42" s="4" t="inlineStr">
        <is>
          <t>00014135</t>
        </is>
      </c>
      <c r="C42" s="5" t="inlineStr">
        <is>
          <t>Alloc</t>
        </is>
      </c>
      <c r="D42" s="5" t="inlineStr">
        <is>
          <t>TRANSF</t>
        </is>
      </c>
      <c r="E42" s="4" t="inlineStr">
        <is>
          <t>STAT200</t>
        </is>
      </c>
      <c r="F42" s="6" t="n">
        <v>-18184.64</v>
      </c>
    </row>
    <row r="43" ht="20" customHeight="1">
      <c r="A43" s="7" t="n">
        <v>44768</v>
      </c>
      <c r="B43" s="8" t="inlineStr">
        <is>
          <t>00015071</t>
        </is>
      </c>
      <c r="C43" s="9" t="inlineStr">
        <is>
          <t>00013744</t>
        </is>
      </c>
      <c r="D43" s="9" t="inlineStr">
        <is>
          <t>TRANSF</t>
        </is>
      </c>
      <c r="E43" s="8" t="inlineStr">
        <is>
          <t>STAT201</t>
        </is>
      </c>
      <c r="F43" s="10" t="n">
        <v>-17275.67</v>
      </c>
    </row>
    <row r="44" ht="20" customHeight="1">
      <c r="A44" s="3" t="n">
        <v>44784</v>
      </c>
      <c r="B44" s="4" t="inlineStr">
        <is>
          <t>00015473</t>
        </is>
      </c>
      <c r="C44" s="5" t="inlineStr">
        <is>
          <t>00014341</t>
        </is>
      </c>
      <c r="D44" s="5" t="inlineStr">
        <is>
          <t>TRANSF</t>
        </is>
      </c>
      <c r="E44" s="4" t="inlineStr">
        <is>
          <t>STAT202</t>
        </is>
      </c>
      <c r="F44" s="6" t="n">
        <v>-14488.95</v>
      </c>
    </row>
    <row r="45" ht="20" customHeight="1">
      <c r="A45" s="7" t="n">
        <v>44814</v>
      </c>
      <c r="B45" s="8" t="inlineStr">
        <is>
          <t>00015987</t>
        </is>
      </c>
      <c r="C45" s="9" t="inlineStr">
        <is>
          <t>00014744</t>
        </is>
      </c>
      <c r="D45" s="9" t="inlineStr">
        <is>
          <t>TRANSF</t>
        </is>
      </c>
      <c r="E45" s="8" t="inlineStr">
        <is>
          <t>STAT203</t>
        </is>
      </c>
      <c r="F45" s="10" t="n">
        <v>-17169.29</v>
      </c>
    </row>
    <row r="46" ht="20" customHeight="1">
      <c r="A46" s="3" t="n">
        <v>44854</v>
      </c>
      <c r="B46" s="4" t="inlineStr">
        <is>
          <t>00016648</t>
        </is>
      </c>
      <c r="C46" s="5" t="inlineStr">
        <is>
          <t>00015360</t>
        </is>
      </c>
      <c r="D46" s="5" t="inlineStr">
        <is>
          <t>TRANSF</t>
        </is>
      </c>
      <c r="E46" s="4" t="inlineStr">
        <is>
          <t>STAT204</t>
        </is>
      </c>
      <c r="F46" s="6" t="n">
        <v>-15885.27</v>
      </c>
    </row>
    <row r="47" ht="20" customHeight="1">
      <c r="A47" s="7" t="n">
        <v>44889</v>
      </c>
      <c r="B47" s="8" t="inlineStr">
        <is>
          <t>00017073</t>
        </is>
      </c>
      <c r="C47" s="9" t="inlineStr">
        <is>
          <t>00015782</t>
        </is>
      </c>
      <c r="D47" s="9" t="inlineStr">
        <is>
          <t>TRANSF</t>
        </is>
      </c>
      <c r="E47" s="8" t="inlineStr">
        <is>
          <t>STAT205</t>
        </is>
      </c>
      <c r="F47" s="10" t="n">
        <v>-13838.4</v>
      </c>
    </row>
    <row r="48" ht="20" customHeight="1">
      <c r="A48" s="3" t="n">
        <v>44914</v>
      </c>
      <c r="B48" s="4" t="inlineStr">
        <is>
          <t>00017578</t>
        </is>
      </c>
      <c r="C48" s="5" t="inlineStr">
        <is>
          <t>00016185</t>
        </is>
      </c>
      <c r="D48" s="5" t="inlineStr">
        <is>
          <t>TRANSF</t>
        </is>
      </c>
      <c r="E48" s="4" t="inlineStr">
        <is>
          <t>STAT206</t>
        </is>
      </c>
      <c r="F48" s="6" t="n">
        <v>-17989.92</v>
      </c>
    </row>
    <row r="49" ht="20" customHeight="1">
      <c r="A49" s="7" t="n">
        <v>44945</v>
      </c>
      <c r="B49" s="8" t="inlineStr">
        <is>
          <t>00017777</t>
        </is>
      </c>
      <c r="C49" s="9" t="inlineStr">
        <is>
          <t>00016557</t>
        </is>
      </c>
      <c r="D49" s="9" t="inlineStr">
        <is>
          <t>TRANSF</t>
        </is>
      </c>
      <c r="E49" s="8" t="inlineStr">
        <is>
          <t>STAT207</t>
        </is>
      </c>
      <c r="F49" s="10" t="n">
        <v>-10825.92</v>
      </c>
    </row>
    <row r="50" ht="20" customHeight="1">
      <c r="A50" s="3" t="n">
        <v>44970</v>
      </c>
      <c r="B50" s="4" t="inlineStr">
        <is>
          <t>00018185</t>
        </is>
      </c>
      <c r="C50" s="5" t="inlineStr">
        <is>
          <t>00017132</t>
        </is>
      </c>
      <c r="D50" s="5" t="inlineStr">
        <is>
          <t>TRANSF</t>
        </is>
      </c>
      <c r="E50" s="4" t="inlineStr">
        <is>
          <t>STAT208</t>
        </is>
      </c>
      <c r="F50" s="6" t="n">
        <v>-25184.36</v>
      </c>
    </row>
    <row r="51" ht="20" customHeight="1">
      <c r="A51" s="7" t="n">
        <v>45007</v>
      </c>
      <c r="B51" s="8" t="inlineStr">
        <is>
          <t>00019176</t>
        </is>
      </c>
      <c r="C51" s="9" t="inlineStr">
        <is>
          <t>00017369</t>
        </is>
      </c>
      <c r="D51" s="9" t="inlineStr">
        <is>
          <t>TRANSF</t>
        </is>
      </c>
      <c r="E51" s="8" t="inlineStr">
        <is>
          <t>STAT: 89</t>
        </is>
      </c>
      <c r="F51" s="10" t="n">
        <v>-11335.68</v>
      </c>
    </row>
    <row r="52" ht="20" customHeight="1">
      <c r="A52" s="3" t="n">
        <v>45048</v>
      </c>
      <c r="B52" s="4" t="inlineStr">
        <is>
          <t>00020357</t>
        </is>
      </c>
      <c r="C52" s="5" t="inlineStr">
        <is>
          <t>00017769</t>
        </is>
      </c>
      <c r="D52" s="5" t="inlineStr">
        <is>
          <t>TRANSF</t>
        </is>
      </c>
      <c r="E52" s="4" t="inlineStr">
        <is>
          <t>STAT: 91</t>
        </is>
      </c>
      <c r="F52" s="6" t="n">
        <v>-12343.07</v>
      </c>
    </row>
    <row r="53" ht="20" customHeight="1">
      <c r="A53" s="7" t="n">
        <v>45077</v>
      </c>
      <c r="B53" s="8" t="inlineStr">
        <is>
          <t>00021193</t>
        </is>
      </c>
      <c r="C53" s="9" t="inlineStr">
        <is>
          <t>Alloc</t>
        </is>
      </c>
      <c r="D53" s="9" t="inlineStr">
        <is>
          <t>TRANSF</t>
        </is>
      </c>
      <c r="E53" s="8" t="inlineStr">
        <is>
          <t>STAT: 91</t>
        </is>
      </c>
      <c r="F53" s="10" t="n">
        <v>-15409.46</v>
      </c>
    </row>
    <row r="54" ht="20" customHeight="1">
      <c r="A54" s="3" t="n">
        <v>45128</v>
      </c>
      <c r="B54" s="4" t="inlineStr">
        <is>
          <t>00022711</t>
        </is>
      </c>
      <c r="C54" s="5" t="inlineStr">
        <is>
          <t>00019697</t>
        </is>
      </c>
      <c r="D54" s="5" t="inlineStr">
        <is>
          <t>TRANSF</t>
        </is>
      </c>
      <c r="E54" s="4" t="inlineStr">
        <is>
          <t>STAT: 93</t>
        </is>
      </c>
      <c r="F54" s="6" t="n">
        <v>-15140.69</v>
      </c>
    </row>
    <row r="55" ht="20" customHeight="1">
      <c r="A55" s="7" t="n">
        <v>45149</v>
      </c>
      <c r="B55" s="8" t="inlineStr">
        <is>
          <t>00023280</t>
        </is>
      </c>
      <c r="C55" s="9" t="inlineStr">
        <is>
          <t>00020630</t>
        </is>
      </c>
      <c r="D55" s="9" t="inlineStr">
        <is>
          <t>TRANSF</t>
        </is>
      </c>
      <c r="E55" s="8" t="inlineStr">
        <is>
          <t>STAT: 94</t>
        </is>
      </c>
      <c r="F55" s="10" t="n">
        <v>-13806.77</v>
      </c>
    </row>
    <row r="56" ht="20" customHeight="1">
      <c r="A56" s="3" t="n">
        <v>45174</v>
      </c>
      <c r="B56" s="4" t="inlineStr">
        <is>
          <t>00023977</t>
        </is>
      </c>
      <c r="C56" s="5" t="inlineStr">
        <is>
          <t>00021756</t>
        </is>
      </c>
      <c r="D56" s="5" t="inlineStr">
        <is>
          <t>TRANSF</t>
        </is>
      </c>
      <c r="E56" s="4" t="inlineStr">
        <is>
          <t>STAT: 95</t>
        </is>
      </c>
      <c r="F56" s="6" t="n">
        <v>-16964.84</v>
      </c>
    </row>
    <row r="57" ht="20" customHeight="1">
      <c r="A57" s="7" t="n">
        <v>45223</v>
      </c>
      <c r="B57" s="8" t="inlineStr">
        <is>
          <t>00025394</t>
        </is>
      </c>
      <c r="C57" s="9" t="inlineStr">
        <is>
          <t>00022842</t>
        </is>
      </c>
      <c r="D57" s="9" t="inlineStr">
        <is>
          <t>TRANSF</t>
        </is>
      </c>
      <c r="E57" s="8" t="inlineStr">
        <is>
          <t>STAT: 96</t>
        </is>
      </c>
      <c r="F57" s="10" t="n">
        <v>-13911.54</v>
      </c>
    </row>
    <row r="58" ht="20" customHeight="1">
      <c r="A58" s="3" t="n">
        <v>45259</v>
      </c>
      <c r="B58" s="4" t="inlineStr">
        <is>
          <t>00026601</t>
        </is>
      </c>
      <c r="C58" s="5" t="inlineStr">
        <is>
          <t>00023732</t>
        </is>
      </c>
      <c r="D58" s="5" t="inlineStr">
        <is>
          <t>TRANSF</t>
        </is>
      </c>
      <c r="E58" s="4" t="inlineStr">
        <is>
          <t>STAT: 97</t>
        </is>
      </c>
      <c r="F58" s="6" t="n">
        <v>-12520.81</v>
      </c>
    </row>
    <row r="59" ht="20" customHeight="1">
      <c r="A59" s="7" t="n">
        <v>45289</v>
      </c>
      <c r="B59" s="8" t="inlineStr">
        <is>
          <t>00027468</t>
        </is>
      </c>
      <c r="C59" s="9" t="inlineStr">
        <is>
          <t>00025852</t>
        </is>
      </c>
      <c r="D59" s="9" t="inlineStr">
        <is>
          <t>TRANSF</t>
        </is>
      </c>
      <c r="E59" s="8" t="inlineStr">
        <is>
          <t>STAT: 98</t>
        </is>
      </c>
      <c r="F59" s="10" t="n">
        <v>-24801.28</v>
      </c>
    </row>
    <row r="60" ht="20" customHeight="1">
      <c r="A60" s="3" t="n">
        <v>45342</v>
      </c>
      <c r="B60" s="4" t="inlineStr">
        <is>
          <t>00028893</t>
        </is>
      </c>
      <c r="C60" s="5" t="inlineStr">
        <is>
          <t>00027132</t>
        </is>
      </c>
      <c r="D60" s="5" t="inlineStr">
        <is>
          <t>TRANSF</t>
        </is>
      </c>
      <c r="E60" s="4" t="inlineStr">
        <is>
          <t>STAT:100</t>
        </is>
      </c>
      <c r="F60" s="6" t="n">
        <v>-14208.48</v>
      </c>
    </row>
    <row r="61" ht="20" customHeight="1">
      <c r="A61" s="7" t="n">
        <v>45406</v>
      </c>
      <c r="B61" s="8" t="inlineStr">
        <is>
          <t>00030269</t>
        </is>
      </c>
      <c r="C61" s="9" t="inlineStr">
        <is>
          <t>00028140</t>
        </is>
      </c>
      <c r="D61" s="9" t="inlineStr">
        <is>
          <t>TRANSF</t>
        </is>
      </c>
      <c r="E61" s="8" t="inlineStr">
        <is>
          <t>STAT:102</t>
        </is>
      </c>
      <c r="F61" s="10" t="n">
        <v>-16151.04</v>
      </c>
    </row>
    <row r="62" ht="20" customHeight="1">
      <c r="A62" s="3" t="n">
        <v>45439</v>
      </c>
      <c r="B62" s="4" t="inlineStr">
        <is>
          <t>00030891</t>
        </is>
      </c>
      <c r="C62" s="5" t="inlineStr">
        <is>
          <t>00028959</t>
        </is>
      </c>
      <c r="D62" s="5" t="inlineStr">
        <is>
          <t>TRANSF</t>
        </is>
      </c>
      <c r="E62" s="4" t="inlineStr">
        <is>
          <t>STAT:103</t>
        </is>
      </c>
      <c r="F62" s="6" t="n">
        <v>-11105.31</v>
      </c>
    </row>
    <row r="63" ht="20" customHeight="1">
      <c r="A63" s="7" t="n">
        <v>45453</v>
      </c>
      <c r="B63" s="8" t="inlineStr">
        <is>
          <t>00031179</t>
        </is>
      </c>
      <c r="C63" s="9" t="inlineStr">
        <is>
          <t>Recon</t>
        </is>
      </c>
      <c r="D63" s="9" t="inlineStr">
        <is>
          <t>TRANSF</t>
        </is>
      </c>
      <c r="E63" s="8" t="inlineStr">
        <is>
          <t>STAT:104</t>
        </is>
      </c>
      <c r="F63" s="10" t="n">
        <v>-13862.03</v>
      </c>
    </row>
    <row r="64" ht="20" customHeight="1">
      <c r="A64" s="3" t="n">
        <v>45482</v>
      </c>
      <c r="B64" s="4" t="inlineStr">
        <is>
          <t>00031792</t>
        </is>
      </c>
      <c r="C64" s="5" t="inlineStr">
        <is>
          <t>00030806</t>
        </is>
      </c>
      <c r="D64" s="5" t="inlineStr">
        <is>
          <t>TRANSF</t>
        </is>
      </c>
      <c r="E64" s="4" t="inlineStr">
        <is>
          <t>STAT:105</t>
        </is>
      </c>
      <c r="F64" s="6" t="n">
        <v>-15395.18</v>
      </c>
    </row>
    <row r="65" ht="20" customHeight="1">
      <c r="A65" s="7" t="n">
        <v>45527</v>
      </c>
      <c r="B65" s="8" t="inlineStr">
        <is>
          <t>00032896</t>
        </is>
      </c>
      <c r="C65" s="9" t="inlineStr">
        <is>
          <t>00031997</t>
        </is>
      </c>
      <c r="D65" s="9" t="inlineStr">
        <is>
          <t>TRANSF</t>
        </is>
      </c>
      <c r="E65" s="8" t="inlineStr">
        <is>
          <t>STAT:106</t>
        </is>
      </c>
      <c r="F65" s="10" t="n">
        <v>-17634.86</v>
      </c>
    </row>
    <row r="66" ht="20" customHeight="1">
      <c r="A66" s="3" t="n">
        <v>45565</v>
      </c>
      <c r="B66" s="4" t="inlineStr">
        <is>
          <t>00033810</t>
        </is>
      </c>
      <c r="C66" s="5" t="inlineStr">
        <is>
          <t>00033533</t>
        </is>
      </c>
      <c r="D66" s="5" t="inlineStr">
        <is>
          <t>TRANSF</t>
        </is>
      </c>
      <c r="E66" s="4" t="inlineStr">
        <is>
          <t>STAT:107</t>
        </is>
      </c>
      <c r="F66" s="6" t="n">
        <v>-20232.18</v>
      </c>
    </row>
    <row r="67" ht="20" customHeight="1">
      <c r="A67" s="7" t="n">
        <v>45593</v>
      </c>
      <c r="B67" s="8" t="inlineStr">
        <is>
          <t>00034425</t>
        </is>
      </c>
      <c r="C67" s="9" t="inlineStr">
        <is>
          <t>00034614</t>
        </is>
      </c>
      <c r="D67" s="9" t="inlineStr">
        <is>
          <t>TRANSF</t>
        </is>
      </c>
      <c r="E67" s="8" t="inlineStr">
        <is>
          <t>STAT:108</t>
        </is>
      </c>
      <c r="F67" s="10" t="n">
        <v>-20443</v>
      </c>
    </row>
    <row r="68" ht="20" customHeight="1">
      <c r="A68" s="3" t="n">
        <v>45630</v>
      </c>
      <c r="B68" s="4" t="inlineStr">
        <is>
          <t>00035270</t>
        </is>
      </c>
      <c r="C68" s="5" t="inlineStr">
        <is>
          <t>00035749</t>
        </is>
      </c>
      <c r="D68" s="5" t="inlineStr">
        <is>
          <t>TRANSF</t>
        </is>
      </c>
      <c r="E68" s="4" t="inlineStr">
        <is>
          <t>STAT:110</t>
        </is>
      </c>
      <c r="F68" s="6" t="n">
        <v>-18441.12</v>
      </c>
    </row>
    <row r="69" ht="20" customHeight="1">
      <c r="A69" s="7" t="n">
        <v>45674</v>
      </c>
      <c r="B69" s="8" t="inlineStr">
        <is>
          <t>00036139</t>
        </is>
      </c>
      <c r="C69" s="9" t="inlineStr">
        <is>
          <t>00037363</t>
        </is>
      </c>
      <c r="D69" s="9" t="inlineStr">
        <is>
          <t>TRANSF</t>
        </is>
      </c>
      <c r="E69" s="8" t="inlineStr">
        <is>
          <t>STAT:111</t>
        </is>
      </c>
      <c r="F69" s="10" t="n">
        <v>-22336.89</v>
      </c>
    </row>
    <row r="70" ht="20" customHeight="1">
      <c r="A70" s="3" t="n">
        <v>45709</v>
      </c>
      <c r="B70" s="4" t="inlineStr">
        <is>
          <t>00036988</t>
        </is>
      </c>
      <c r="C70" s="5" t="inlineStr">
        <is>
          <t>Alloc</t>
        </is>
      </c>
      <c r="D70" s="5" t="inlineStr">
        <is>
          <t>TRANSF</t>
        </is>
      </c>
      <c r="E70" s="4" t="inlineStr">
        <is>
          <t>STAT:112</t>
        </is>
      </c>
      <c r="F70" s="6" t="n">
        <v>-19550.42</v>
      </c>
    </row>
    <row r="71" ht="20" customHeight="1">
      <c r="A71" s="7" t="n">
        <v>45782</v>
      </c>
      <c r="B71" s="8" t="inlineStr">
        <is>
          <t>00038481</t>
        </is>
      </c>
      <c r="C71" s="9" t="inlineStr">
        <is>
          <t>00043089</t>
        </is>
      </c>
      <c r="D71" s="9" t="inlineStr">
        <is>
          <t>TRANSF</t>
        </is>
      </c>
      <c r="E71" s="8" t="inlineStr">
        <is>
          <t>STAT:115</t>
        </is>
      </c>
      <c r="F71" s="10" t="n">
        <v>-15816.63</v>
      </c>
    </row>
    <row r="72" ht="20" customHeight="1">
      <c r="A72" s="3" t="n">
        <v>45799</v>
      </c>
      <c r="B72" s="4" t="inlineStr">
        <is>
          <t>00038846</t>
        </is>
      </c>
      <c r="C72" s="5" t="inlineStr">
        <is>
          <t>00039714</t>
        </is>
      </c>
      <c r="D72" s="5" t="inlineStr">
        <is>
          <t>TRANSF</t>
        </is>
      </c>
      <c r="E72" s="4" t="inlineStr">
        <is>
          <t>STAT:115</t>
        </is>
      </c>
      <c r="F72" s="6" t="n">
        <v>-7337.97</v>
      </c>
    </row>
    <row r="73" ht="20" customHeight="1">
      <c r="A73" s="7" t="n">
        <v>45820</v>
      </c>
      <c r="B73" s="8" t="inlineStr">
        <is>
          <t>00039812</t>
        </is>
      </c>
      <c r="C73" s="9" t="inlineStr">
        <is>
          <t>00041051</t>
        </is>
      </c>
      <c r="D73" s="9" t="inlineStr">
        <is>
          <t>TRANSF</t>
        </is>
      </c>
      <c r="E73" s="8" t="inlineStr">
        <is>
          <t>STAT:116</t>
        </is>
      </c>
      <c r="F73" s="10" t="n">
        <v>-20557.69</v>
      </c>
    </row>
    <row r="74" ht="20" customHeight="1">
      <c r="A74" s="3" t="n">
        <v>45852</v>
      </c>
      <c r="B74" s="4" t="inlineStr">
        <is>
          <t>00040063</t>
        </is>
      </c>
      <c r="C74" s="5" t="inlineStr">
        <is>
          <t>Alloc</t>
        </is>
      </c>
      <c r="D74" s="5" t="inlineStr">
        <is>
          <t>TRANSF</t>
        </is>
      </c>
      <c r="E74" s="4" t="inlineStr">
        <is>
          <t>STAT:117</t>
        </is>
      </c>
      <c r="F74" s="6" t="n">
        <v>-11795.24</v>
      </c>
    </row>
    <row r="75" ht="20" customHeight="1">
      <c r="A75" s="7" t="n">
        <v>45891</v>
      </c>
      <c r="B75" s="8" t="inlineStr">
        <is>
          <t>00040746</t>
        </is>
      </c>
      <c r="C75" s="9" t="inlineStr">
        <is>
          <t>Alloc</t>
        </is>
      </c>
      <c r="D75" s="9" t="inlineStr">
        <is>
          <t>TRANSF</t>
        </is>
      </c>
      <c r="E75" s="8" t="inlineStr">
        <is>
          <t>STAT 117</t>
        </is>
      </c>
      <c r="F75" s="10" t="n">
        <v>-14579.44</v>
      </c>
    </row>
    <row r="76" ht="20" customHeight="1">
      <c r="A76" s="3" t="n">
        <v>45944</v>
      </c>
      <c r="B76" s="4" t="inlineStr">
        <is>
          <t>00041664</t>
        </is>
      </c>
      <c r="C76" s="5" t="inlineStr">
        <is>
          <t>Alloc</t>
        </is>
      </c>
      <c r="D76" s="5" t="inlineStr">
        <is>
          <t>TRANSF</t>
        </is>
      </c>
      <c r="E76" s="4" t="inlineStr">
        <is>
          <t>STAT 119</t>
        </is>
      </c>
      <c r="F76" s="6" t="n">
        <v>-16601.81</v>
      </c>
    </row>
    <row r="77" ht="20" customHeight="1">
      <c r="A77" s="7" t="n">
        <v>45967</v>
      </c>
      <c r="B77" s="8" t="inlineStr">
        <is>
          <t>00042134</t>
        </is>
      </c>
      <c r="C77" s="9" t="inlineStr">
        <is>
          <t>Alloc</t>
        </is>
      </c>
      <c r="D77" s="9" t="inlineStr">
        <is>
          <t>TRANSF</t>
        </is>
      </c>
      <c r="E77" s="8" t="inlineStr">
        <is>
          <t>STAT 120</t>
        </is>
      </c>
      <c r="F77" s="10" t="n">
        <v>-13327.87</v>
      </c>
    </row>
    <row r="78" ht="20" customHeight="1">
      <c r="A78" s="3" t="n">
        <v>46020</v>
      </c>
      <c r="B78" s="4" t="inlineStr">
        <is>
          <t>00042788</t>
        </is>
      </c>
      <c r="C78" s="5" t="inlineStr">
        <is>
          <t>Alloc</t>
        </is>
      </c>
      <c r="D78" s="5" t="inlineStr">
        <is>
          <t>TRANSF</t>
        </is>
      </c>
      <c r="E78" s="4" t="inlineStr">
        <is>
          <t>STAT 121</t>
        </is>
      </c>
      <c r="F78" s="6" t="n">
        <v>-13161.86</v>
      </c>
    </row>
    <row r="79" ht="20" customHeight="1">
      <c r="A79" s="7" t="n">
        <v>46058</v>
      </c>
      <c r="B79" s="8" t="inlineStr">
        <is>
          <t>00043199</t>
        </is>
      </c>
      <c r="C79" s="9" t="inlineStr">
        <is>
          <t>Alloc</t>
        </is>
      </c>
      <c r="D79" s="9" t="inlineStr">
        <is>
          <t>TRANSF</t>
        </is>
      </c>
      <c r="E79" s="8" t="inlineStr">
        <is>
          <t>STAT 123</t>
        </is>
      </c>
      <c r="F79" s="10" t="n">
        <v>-15578.23</v>
      </c>
    </row>
    <row r="80">
      <c r="A80" s="7" t="n">
        <v>46178</v>
      </c>
      <c r="B80" s="8" t="inlineStr">
        <is>
          <t>00044555</t>
        </is>
      </c>
      <c r="C80" s="9" t="inlineStr">
        <is>
          <t>Alloc</t>
        </is>
      </c>
      <c r="D80" s="9" t="inlineStr">
        <is>
          <t>TRANSF</t>
        </is>
      </c>
      <c r="E80" s="8" t="inlineStr">
        <is>
          <t>STAT 127</t>
        </is>
      </c>
      <c r="F80" s="10" t="n">
        <v>-11666.12</v>
      </c>
    </row>
    <row r="81">
      <c r="A81" s="11" t="inlineStr">
        <is>
          <t>Total Payments Received</t>
        </is>
      </c>
      <c r="B81" s="12" t="n"/>
      <c r="C81" s="12" t="n"/>
      <c r="D81" s="12" t="n"/>
      <c r="E81" s="12" t="n"/>
      <c r="F81" s="13">
        <f>SUM(F4:F80)</f>
        <v/>
      </c>
    </row>
  </sheetData>
  <mergeCells count="1"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20" customWidth="1" min="3" max="3"/>
    <col width="17" customWidth="1" min="4" max="4"/>
    <col width="16" customWidth="1" min="5" max="5"/>
    <col width="18" customWidth="1" min="6" max="6"/>
  </cols>
  <sheetData>
    <row r="1" ht="30" customHeight="1">
      <c r="A1" s="1" t="inlineStr">
        <is>
          <t>Jim Gas (JIM001) - Exact Monthly LPG Invoice-Payment Matches (March 2021 - February 2026)</t>
        </is>
      </c>
    </row>
    <row r="2" ht="10" customHeight="1"/>
    <row r="3" ht="25" customHeight="1">
      <c r="A3" s="2" t="inlineStr">
        <is>
          <t>Invoice Year</t>
        </is>
      </c>
      <c r="B3" s="2" t="inlineStr">
        <is>
          <t>Invoice Month</t>
        </is>
      </c>
      <c r="C3" s="2" t="inlineStr">
        <is>
          <t>Net LPG Invoiced</t>
        </is>
      </c>
      <c r="D3" s="2" t="inlineStr">
        <is>
          <t>Payment Doc #</t>
        </is>
      </c>
      <c r="E3" s="2" t="inlineStr">
        <is>
          <t>Payment Date</t>
        </is>
      </c>
      <c r="F3" s="2" t="inlineStr">
        <is>
          <t>Payment Amount</t>
        </is>
      </c>
    </row>
    <row r="4" ht="20" customHeight="1">
      <c r="A4" s="6" t="n">
        <v>2021</v>
      </c>
      <c r="B4" s="5" t="inlineStr">
        <is>
          <t>March</t>
        </is>
      </c>
      <c r="C4" s="6" t="n">
        <v>12518.2</v>
      </c>
      <c r="D4" s="5" t="inlineStr">
        <is>
          <t>00008420</t>
        </is>
      </c>
      <c r="E4" s="3" t="n">
        <v>44295</v>
      </c>
      <c r="F4" s="6" t="n">
        <v>12518.21</v>
      </c>
    </row>
    <row r="5" ht="20" customHeight="1">
      <c r="A5" s="10" t="n">
        <v>2021</v>
      </c>
      <c r="B5" s="9" t="inlineStr">
        <is>
          <t>April</t>
        </is>
      </c>
      <c r="C5" s="10" t="n">
        <v>9765.76</v>
      </c>
      <c r="D5" s="9" t="inlineStr">
        <is>
          <t>00008764</t>
        </is>
      </c>
      <c r="E5" s="7" t="n">
        <v>44327</v>
      </c>
      <c r="F5" s="10" t="n">
        <v>9765.76</v>
      </c>
    </row>
    <row r="6" ht="20" customHeight="1">
      <c r="A6" s="6" t="n">
        <v>2021</v>
      </c>
      <c r="B6" s="5" t="inlineStr">
        <is>
          <t>May</t>
        </is>
      </c>
      <c r="C6" s="6" t="n">
        <v>12222.9</v>
      </c>
      <c r="D6" s="5" t="inlineStr">
        <is>
          <t>00009315</t>
        </is>
      </c>
      <c r="E6" s="3" t="n">
        <v>44350</v>
      </c>
      <c r="F6" s="6" t="n">
        <v>12222.9</v>
      </c>
    </row>
    <row r="7" ht="20" customHeight="1">
      <c r="A7" s="10" t="n">
        <v>2021</v>
      </c>
      <c r="B7" s="9" t="inlineStr">
        <is>
          <t>June</t>
        </is>
      </c>
      <c r="C7" s="10" t="n">
        <v>11292.11</v>
      </c>
      <c r="D7" s="9" t="inlineStr">
        <is>
          <t>00009996</t>
        </is>
      </c>
      <c r="E7" s="7" t="n">
        <v>44378</v>
      </c>
      <c r="F7" s="10" t="n">
        <v>11292.11</v>
      </c>
    </row>
    <row r="8" ht="20" customHeight="1">
      <c r="A8" s="6" t="n">
        <v>2021</v>
      </c>
      <c r="B8" s="5" t="inlineStr">
        <is>
          <t>July</t>
        </is>
      </c>
      <c r="C8" s="6" t="n">
        <v>9079.940000000001</v>
      </c>
      <c r="D8" s="5" t="inlineStr">
        <is>
          <t>00010226</t>
        </is>
      </c>
      <c r="E8" s="3" t="n">
        <v>44413</v>
      </c>
      <c r="F8" s="6" t="n">
        <v>9079.940000000001</v>
      </c>
    </row>
    <row r="9" ht="20" customHeight="1">
      <c r="A9" s="10" t="n">
        <v>2021</v>
      </c>
      <c r="B9" s="9" t="inlineStr">
        <is>
          <t>August</t>
        </is>
      </c>
      <c r="C9" s="10" t="n">
        <v>13012.51</v>
      </c>
      <c r="D9" s="9" t="inlineStr">
        <is>
          <t>00010584</t>
        </is>
      </c>
      <c r="E9" s="7" t="n">
        <v>44441</v>
      </c>
      <c r="F9" s="10" t="n">
        <v>13012.5</v>
      </c>
    </row>
    <row r="10" ht="20" customHeight="1">
      <c r="A10" s="6" t="n">
        <v>2021</v>
      </c>
      <c r="B10" s="5" t="inlineStr">
        <is>
          <t>September</t>
        </is>
      </c>
      <c r="C10" s="6" t="n">
        <v>13260.28</v>
      </c>
      <c r="D10" s="5" t="inlineStr">
        <is>
          <t>00011068</t>
        </is>
      </c>
      <c r="E10" s="3" t="n">
        <v>44476</v>
      </c>
      <c r="F10" s="6" t="n">
        <v>13260.28</v>
      </c>
    </row>
    <row r="11" ht="20" customHeight="1">
      <c r="A11" s="10" t="n">
        <v>2022</v>
      </c>
      <c r="B11" s="9" t="inlineStr">
        <is>
          <t>January</t>
        </is>
      </c>
      <c r="C11" s="10" t="n">
        <v>14982.58</v>
      </c>
      <c r="D11" s="9" t="inlineStr">
        <is>
          <t>00013245</t>
        </is>
      </c>
      <c r="E11" s="7" t="n">
        <v>44637</v>
      </c>
      <c r="F11" s="10" t="n">
        <v>14982.58</v>
      </c>
    </row>
    <row r="12" ht="20" customHeight="1">
      <c r="A12" s="6" t="n">
        <v>2022</v>
      </c>
      <c r="B12" s="5" t="inlineStr">
        <is>
          <t>February</t>
        </is>
      </c>
      <c r="C12" s="6" t="n">
        <v>13949</v>
      </c>
      <c r="D12" s="5" t="inlineStr">
        <is>
          <t>00013583</t>
        </is>
      </c>
      <c r="E12" s="3" t="n">
        <v>44663</v>
      </c>
      <c r="F12" s="6" t="n">
        <v>13949</v>
      </c>
    </row>
    <row r="13" ht="20" customHeight="1">
      <c r="A13" s="10" t="n">
        <v>2022</v>
      </c>
      <c r="B13" s="9" t="inlineStr">
        <is>
          <t>April</t>
        </is>
      </c>
      <c r="C13" s="10" t="n">
        <v>18184.64</v>
      </c>
      <c r="D13" s="9" t="inlineStr">
        <is>
          <t>00014135</t>
        </is>
      </c>
      <c r="E13" s="7" t="n">
        <v>44713</v>
      </c>
      <c r="F13" s="10" t="n">
        <v>18184.64</v>
      </c>
    </row>
    <row r="14" ht="20" customHeight="1">
      <c r="A14" s="6" t="n">
        <v>2022</v>
      </c>
      <c r="B14" s="5" t="inlineStr">
        <is>
          <t>July</t>
        </is>
      </c>
      <c r="C14" s="6" t="n">
        <v>17169.29</v>
      </c>
      <c r="D14" s="5" t="inlineStr">
        <is>
          <t>00015987</t>
        </is>
      </c>
      <c r="E14" s="3" t="n">
        <v>44814</v>
      </c>
      <c r="F14" s="6" t="n">
        <v>17169.29</v>
      </c>
    </row>
    <row r="15" ht="20" customHeight="1">
      <c r="A15" s="10" t="n">
        <v>2023</v>
      </c>
      <c r="B15" s="9" t="inlineStr">
        <is>
          <t>January</t>
        </is>
      </c>
      <c r="C15" s="10" t="n">
        <v>11335.68</v>
      </c>
      <c r="D15" s="9" t="inlineStr">
        <is>
          <t>00019176</t>
        </is>
      </c>
      <c r="E15" s="7" t="n">
        <v>45007</v>
      </c>
      <c r="F15" s="10" t="n">
        <v>11335.68</v>
      </c>
    </row>
    <row r="16" ht="20" customHeight="1">
      <c r="A16" s="6" t="n">
        <v>2023</v>
      </c>
      <c r="B16" s="5" t="inlineStr">
        <is>
          <t>February</t>
        </is>
      </c>
      <c r="C16" s="6" t="n">
        <v>12343.07</v>
      </c>
      <c r="D16" s="5" t="inlineStr">
        <is>
          <t>00020357</t>
        </is>
      </c>
      <c r="E16" s="3" t="n">
        <v>45048</v>
      </c>
      <c r="F16" s="6" t="n">
        <v>12343.07</v>
      </c>
    </row>
    <row r="17" ht="20" customHeight="1">
      <c r="A17" s="10" t="n">
        <v>2023</v>
      </c>
      <c r="B17" s="9" t="inlineStr">
        <is>
          <t>April</t>
        </is>
      </c>
      <c r="C17" s="10" t="n">
        <v>15140.69</v>
      </c>
      <c r="D17" s="9" t="inlineStr">
        <is>
          <t>00022711</t>
        </is>
      </c>
      <c r="E17" s="7" t="n">
        <v>45128</v>
      </c>
      <c r="F17" s="10" t="n">
        <v>15140.69</v>
      </c>
    </row>
    <row r="18" ht="20" customHeight="1">
      <c r="A18" s="6" t="n">
        <v>2023</v>
      </c>
      <c r="B18" s="5" t="inlineStr">
        <is>
          <t>May</t>
        </is>
      </c>
      <c r="C18" s="6" t="n">
        <v>13806.77</v>
      </c>
      <c r="D18" s="5" t="inlineStr">
        <is>
          <t>00023280</t>
        </is>
      </c>
      <c r="E18" s="3" t="n">
        <v>45149</v>
      </c>
      <c r="F18" s="6" t="n">
        <v>13806.77</v>
      </c>
    </row>
    <row r="19" ht="20" customHeight="1">
      <c r="A19" s="10" t="n">
        <v>2023</v>
      </c>
      <c r="B19" s="9" t="inlineStr">
        <is>
          <t>June</t>
        </is>
      </c>
      <c r="C19" s="10" t="n">
        <v>16964.84</v>
      </c>
      <c r="D19" s="9" t="inlineStr">
        <is>
          <t>00023977</t>
        </is>
      </c>
      <c r="E19" s="7" t="n">
        <v>45174</v>
      </c>
      <c r="F19" s="10" t="n">
        <v>16964.84</v>
      </c>
    </row>
    <row r="20" ht="20" customHeight="1">
      <c r="A20" s="6" t="n">
        <v>2023</v>
      </c>
      <c r="B20" s="5" t="inlineStr">
        <is>
          <t>July</t>
        </is>
      </c>
      <c r="C20" s="6" t="n">
        <v>13911.54</v>
      </c>
      <c r="D20" s="5" t="inlineStr">
        <is>
          <t>00025394</t>
        </is>
      </c>
      <c r="E20" s="3" t="n">
        <v>45223</v>
      </c>
      <c r="F20" s="6" t="n">
        <v>13911.54</v>
      </c>
    </row>
    <row r="21" ht="20" customHeight="1">
      <c r="A21" s="10" t="n">
        <v>2024</v>
      </c>
      <c r="B21" s="9" t="inlineStr">
        <is>
          <t>January</t>
        </is>
      </c>
      <c r="C21" s="10" t="n">
        <v>11105.31</v>
      </c>
      <c r="D21" s="9" t="inlineStr">
        <is>
          <t>00030891</t>
        </is>
      </c>
      <c r="E21" s="7" t="n">
        <v>45439</v>
      </c>
      <c r="F21" s="10" t="n">
        <v>11105.31</v>
      </c>
    </row>
    <row r="22" ht="20" customHeight="1">
      <c r="A22" s="6" t="n">
        <v>2024</v>
      </c>
      <c r="B22" s="5" t="inlineStr">
        <is>
          <t>March</t>
        </is>
      </c>
      <c r="C22" s="6" t="n">
        <v>15395.18</v>
      </c>
      <c r="D22" s="5" t="inlineStr">
        <is>
          <t>00031792</t>
        </is>
      </c>
      <c r="E22" s="3" t="n">
        <v>45482</v>
      </c>
      <c r="F22" s="6" t="n">
        <v>15395.18</v>
      </c>
    </row>
    <row r="23" ht="20" customHeight="1">
      <c r="A23" s="10" t="n">
        <v>2024</v>
      </c>
      <c r="B23" s="9" t="inlineStr">
        <is>
          <t>December</t>
        </is>
      </c>
      <c r="C23" s="10" t="n">
        <v>15816.63</v>
      </c>
      <c r="D23" s="9" t="inlineStr">
        <is>
          <t>00038481</t>
        </is>
      </c>
      <c r="E23" s="7" t="n">
        <v>45782</v>
      </c>
      <c r="F23" s="10" t="n">
        <v>15816.63</v>
      </c>
    </row>
    <row r="24" ht="20" customHeight="1">
      <c r="A24" s="6" t="n">
        <v>2025</v>
      </c>
      <c r="B24" s="5" t="inlineStr">
        <is>
          <t>March</t>
        </is>
      </c>
      <c r="C24" s="6" t="n">
        <v>11795.24</v>
      </c>
      <c r="D24" s="5" t="inlineStr">
        <is>
          <t>00040063</t>
        </is>
      </c>
      <c r="E24" s="3" t="n">
        <v>45852</v>
      </c>
      <c r="F24" s="6" t="n">
        <v>11795.24</v>
      </c>
    </row>
    <row r="25" ht="20" customHeight="1">
      <c r="A25" s="10" t="n">
        <v>2025</v>
      </c>
      <c r="B25" s="9" t="inlineStr">
        <is>
          <t>July</t>
        </is>
      </c>
      <c r="C25" s="10" t="n">
        <v>14579.44</v>
      </c>
      <c r="D25" s="9" t="inlineStr">
        <is>
          <t>00040746</t>
        </is>
      </c>
      <c r="E25" s="7" t="n">
        <v>45891</v>
      </c>
      <c r="F25" s="10" t="n">
        <v>14579.44</v>
      </c>
    </row>
    <row r="26" ht="20" customHeight="1">
      <c r="A26" s="6" t="n">
        <v>2025</v>
      </c>
      <c r="B26" s="5" t="inlineStr">
        <is>
          <t>August</t>
        </is>
      </c>
      <c r="C26" s="6" t="n">
        <v>16601.82</v>
      </c>
      <c r="D26" s="5" t="inlineStr">
        <is>
          <t>00041664</t>
        </is>
      </c>
      <c r="E26" s="3" t="n">
        <v>45944</v>
      </c>
      <c r="F26" s="6" t="n">
        <v>16601.81</v>
      </c>
    </row>
    <row r="27" ht="20" customHeight="1">
      <c r="A27" s="10" t="n">
        <v>2025</v>
      </c>
      <c r="B27" s="9" t="inlineStr">
        <is>
          <t>September</t>
        </is>
      </c>
      <c r="C27" s="10" t="n">
        <v>13327.87</v>
      </c>
      <c r="D27" s="9" t="inlineStr">
        <is>
          <t>00042134</t>
        </is>
      </c>
      <c r="E27" s="7" t="n">
        <v>45967</v>
      </c>
      <c r="F27" s="10" t="n">
        <v>13327.87</v>
      </c>
    </row>
    <row r="28" ht="20" customHeight="1">
      <c r="A28" s="6" t="n">
        <v>2025</v>
      </c>
      <c r="B28" s="5" t="inlineStr">
        <is>
          <t>October</t>
        </is>
      </c>
      <c r="C28" s="6" t="n">
        <v>13161.86</v>
      </c>
      <c r="D28" s="5" t="inlineStr">
        <is>
          <t>00042788</t>
        </is>
      </c>
      <c r="E28" s="3" t="n">
        <v>46020</v>
      </c>
      <c r="F28" s="6" t="n">
        <v>13161.86</v>
      </c>
    </row>
    <row r="29" ht="20" customHeight="1">
      <c r="A29" s="10" t="n">
        <v>2025</v>
      </c>
      <c r="B29" s="9" t="inlineStr">
        <is>
          <t>November</t>
        </is>
      </c>
      <c r="C29" s="10" t="n">
        <v>15578.23</v>
      </c>
      <c r="D29" s="9" t="inlineStr">
        <is>
          <t>00043199</t>
        </is>
      </c>
      <c r="E29" s="7" t="n">
        <v>46058</v>
      </c>
      <c r="F29" s="10" t="n">
        <v>15578.23</v>
      </c>
    </row>
    <row r="30">
      <c r="A30" s="10" t="n">
        <v>2025</v>
      </c>
      <c r="B30" s="9" t="inlineStr">
        <is>
          <t>December</t>
        </is>
      </c>
      <c r="C30" s="10" t="n">
        <v>11666.11</v>
      </c>
      <c r="D30" s="9" t="inlineStr">
        <is>
          <t>00044555</t>
        </is>
      </c>
      <c r="E30" s="7" t="n">
        <v>46178</v>
      </c>
      <c r="F30" s="10" t="n">
        <v>11666.12</v>
      </c>
    </row>
    <row r="31">
      <c r="A31" s="11" t="inlineStr">
        <is>
          <t>Total Matched LPG Sales</t>
        </is>
      </c>
      <c r="B31" s="12" t="n"/>
      <c r="C31" s="13">
        <f>SUM(C4:C30)</f>
        <v/>
      </c>
      <c r="D31" s="12" t="n"/>
      <c r="E31" s="12" t="n"/>
      <c r="F31" s="13">
        <f>SUM(F4:F30)</f>
        <v/>
      </c>
    </row>
  </sheetData>
  <mergeCells count="1"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8" customWidth="1" min="4" max="4"/>
    <col width="22" customWidth="1" min="5" max="5"/>
    <col width="18" customWidth="1" min="6" max="6"/>
    <col width="22" customWidth="1" min="7" max="7"/>
    <col width="28" customWidth="1" min="8" max="8"/>
    <col width="22" customWidth="1" min="9" max="9"/>
    <col width="20" customWidth="1" min="10" max="10"/>
    <col width="22" customWidth="1" min="11" max="11"/>
    <col width="22" customWidth="1" min="12" max="12"/>
  </cols>
  <sheetData>
    <row r="1" ht="30" customHeight="1">
      <c r="A1" s="1" t="inlineStr">
        <is>
          <t>Jim Gas (JIM001) - Open LPG Invoices Summed by Billing Month (v4.1)</t>
        </is>
      </c>
    </row>
    <row r="2" ht="10" customHeight="1"/>
    <row r="3" ht="25" customHeight="1">
      <c r="A3" s="2" t="inlineStr">
        <is>
          <t>Billing Month</t>
        </is>
      </c>
      <c r="B3" s="2" t="inlineStr">
        <is>
          <t>Year</t>
        </is>
      </c>
      <c r="C3" s="2" t="inlineStr">
        <is>
          <t>Month</t>
        </is>
      </c>
      <c r="D3" s="2" t="inlineStr">
        <is>
          <t>Net LPG Invoiced</t>
        </is>
      </c>
      <c r="E3" s="2" t="inlineStr">
        <is>
          <t>Payment Doc #</t>
        </is>
      </c>
      <c r="F3" s="2" t="inlineStr">
        <is>
          <t>Payment Date(s)</t>
        </is>
      </c>
      <c r="G3" s="2" t="inlineStr">
        <is>
          <t>Payment Gross (Original)</t>
        </is>
      </c>
      <c r="H3" s="2" t="inlineStr">
        <is>
          <t>Net LPG Invoiced less Payment Gross (Original)</t>
        </is>
      </c>
      <c r="I3" s="2" t="inlineStr">
        <is>
          <t>Payment Allocated (Month)</t>
        </is>
      </c>
      <c r="J3" s="2" t="inlineStr">
        <is>
          <t>Open Invoices (Sum)</t>
        </is>
      </c>
      <c r="K3" s="2" t="inlineStr">
        <is>
          <t>Month Status</t>
        </is>
      </c>
      <c r="L3" s="2" t="inlineStr">
        <is>
          <t>LPG Invoice Doc Count</t>
        </is>
      </c>
    </row>
    <row r="4" ht="20" customHeight="1">
      <c r="A4" s="5" t="inlineStr">
        <is>
          <t>2018-12</t>
        </is>
      </c>
      <c r="B4" s="6" t="n">
        <v>2018</v>
      </c>
      <c r="C4" s="5" t="inlineStr">
        <is>
          <t>December</t>
        </is>
      </c>
      <c r="D4" s="6" t="n">
        <v>9000.02</v>
      </c>
      <c r="E4" s="5" t="inlineStr">
        <is>
          <t>00004904</t>
        </is>
      </c>
      <c r="F4" s="5" t="inlineStr">
        <is>
          <t>2019-01-21</t>
        </is>
      </c>
      <c r="G4" s="6" t="n">
        <v>7000</v>
      </c>
      <c r="H4" s="6" t="n">
        <v>2000.02</v>
      </c>
      <c r="I4" s="6" t="n">
        <v>6556.68</v>
      </c>
      <c r="J4" s="6" t="n">
        <v>2443.34</v>
      </c>
      <c r="K4" s="5" t="inlineStr">
        <is>
          <t>PARTIALLY_SETTLED</t>
        </is>
      </c>
      <c r="L4" s="6" t="n">
        <v>2</v>
      </c>
    </row>
    <row r="5" ht="20" customHeight="1">
      <c r="A5" s="5" t="inlineStr">
        <is>
          <t>2019-01</t>
        </is>
      </c>
      <c r="B5" s="6" t="n">
        <v>2019</v>
      </c>
      <c r="C5" s="5" t="inlineStr">
        <is>
          <t>January</t>
        </is>
      </c>
      <c r="D5" s="6" t="n">
        <v>19306.77</v>
      </c>
      <c r="E5" s="5" t="inlineStr">
        <is>
          <t>—</t>
        </is>
      </c>
      <c r="F5" s="5" t="inlineStr">
        <is>
          <t>—</t>
        </is>
      </c>
      <c r="G5" s="5" t="inlineStr">
        <is>
          <t>—</t>
        </is>
      </c>
      <c r="H5" s="5" t="inlineStr">
        <is>
          <t>—</t>
        </is>
      </c>
      <c r="I5" s="6" t="n">
        <v>0</v>
      </c>
      <c r="J5" s="6" t="n">
        <v>19306.77</v>
      </c>
      <c r="K5" s="5" t="inlineStr">
        <is>
          <t>UNPAID</t>
        </is>
      </c>
      <c r="L5" s="6" t="n">
        <v>19</v>
      </c>
    </row>
    <row r="6" ht="20" customHeight="1">
      <c r="A6" s="5" t="inlineStr">
        <is>
          <t>2019-02</t>
        </is>
      </c>
      <c r="B6" s="6" t="n">
        <v>2019</v>
      </c>
      <c r="C6" s="5" t="inlineStr">
        <is>
          <t>February</t>
        </is>
      </c>
      <c r="D6" s="6" t="n">
        <v>10097.41</v>
      </c>
      <c r="E6" s="5" t="inlineStr">
        <is>
          <t>00005437</t>
        </is>
      </c>
      <c r="F6" s="5" t="inlineStr">
        <is>
          <t>2019-04-24</t>
        </is>
      </c>
      <c r="G6" s="6" t="n">
        <v>9925</v>
      </c>
      <c r="H6" s="6" t="n">
        <v>172.41</v>
      </c>
      <c r="I6" s="6" t="n">
        <v>9925</v>
      </c>
      <c r="J6" s="6" t="n">
        <v>172.41</v>
      </c>
      <c r="K6" s="5" t="inlineStr">
        <is>
          <t>PARTIALLY_SETTLED</t>
        </is>
      </c>
      <c r="L6" s="6" t="n">
        <v>11</v>
      </c>
    </row>
    <row r="7" ht="20" customHeight="1">
      <c r="A7" s="5" t="inlineStr">
        <is>
          <t>2019-03</t>
        </is>
      </c>
      <c r="B7" s="6" t="n">
        <v>2019</v>
      </c>
      <c r="C7" s="5" t="inlineStr">
        <is>
          <t>March</t>
        </is>
      </c>
      <c r="D7" s="6" t="n">
        <v>4374.98</v>
      </c>
      <c r="E7" s="5" t="inlineStr">
        <is>
          <t>—</t>
        </is>
      </c>
      <c r="F7" s="5" t="inlineStr">
        <is>
          <t>—</t>
        </is>
      </c>
      <c r="G7" s="5" t="inlineStr">
        <is>
          <t>—</t>
        </is>
      </c>
      <c r="H7" s="5" t="inlineStr">
        <is>
          <t>—</t>
        </is>
      </c>
      <c r="I7" s="6" t="n">
        <v>0</v>
      </c>
      <c r="J7" s="6" t="n">
        <v>4374.98</v>
      </c>
      <c r="K7" s="5" t="inlineStr">
        <is>
          <t>UNPAID</t>
        </is>
      </c>
      <c r="L7" s="6" t="n">
        <v>14</v>
      </c>
    </row>
    <row r="8" ht="20" customHeight="1">
      <c r="A8" s="5" t="inlineStr">
        <is>
          <t>2019-04</t>
        </is>
      </c>
      <c r="B8" s="6" t="n">
        <v>2019</v>
      </c>
      <c r="C8" s="5" t="inlineStr">
        <is>
          <t>April</t>
        </is>
      </c>
      <c r="D8" s="6" t="n">
        <v>13504.86</v>
      </c>
      <c r="E8" s="5" t="inlineStr">
        <is>
          <t>00005436</t>
        </is>
      </c>
      <c r="F8" s="5" t="inlineStr">
        <is>
          <t>2019-05-06</t>
        </is>
      </c>
      <c r="G8" s="6" t="n">
        <v>13505</v>
      </c>
      <c r="H8" s="6" t="n">
        <v>-0.14</v>
      </c>
      <c r="I8" s="6" t="n">
        <v>13504.86</v>
      </c>
      <c r="J8" s="6" t="n">
        <v>0</v>
      </c>
      <c r="K8" s="5" t="inlineStr">
        <is>
          <t>FULLY_SETTLED</t>
        </is>
      </c>
      <c r="L8" s="6" t="n">
        <v>9</v>
      </c>
    </row>
    <row r="9" ht="20" customHeight="1">
      <c r="A9" s="5" t="inlineStr">
        <is>
          <t>2019-05</t>
        </is>
      </c>
      <c r="B9" s="6" t="n">
        <v>2019</v>
      </c>
      <c r="C9" s="5" t="inlineStr">
        <is>
          <t>May</t>
        </is>
      </c>
      <c r="D9" s="6" t="n">
        <v>8710.629999999999</v>
      </c>
      <c r="E9" s="5" t="inlineStr">
        <is>
          <t>00005618</t>
        </is>
      </c>
      <c r="F9" s="5" t="inlineStr">
        <is>
          <t>2019-06-20</t>
        </is>
      </c>
      <c r="G9" s="6" t="n">
        <v>8625</v>
      </c>
      <c r="H9" s="6" t="n">
        <v>85.63</v>
      </c>
      <c r="I9" s="6" t="n">
        <v>8625</v>
      </c>
      <c r="J9" s="6" t="n">
        <v>85.63</v>
      </c>
      <c r="K9" s="5" t="inlineStr">
        <is>
          <t>PARTIALLY_SETTLED</t>
        </is>
      </c>
      <c r="L9" s="6" t="n">
        <v>6</v>
      </c>
    </row>
    <row r="10" ht="20" customHeight="1">
      <c r="A10" s="5" t="inlineStr">
        <is>
          <t>2019-06</t>
        </is>
      </c>
      <c r="B10" s="6" t="n">
        <v>2019</v>
      </c>
      <c r="C10" s="5" t="inlineStr">
        <is>
          <t>June</t>
        </is>
      </c>
      <c r="D10" s="6" t="n">
        <v>12750</v>
      </c>
      <c r="E10" s="5" t="inlineStr">
        <is>
          <t>00005804</t>
        </is>
      </c>
      <c r="F10" s="5" t="inlineStr">
        <is>
          <t>2019-07-04</t>
        </is>
      </c>
      <c r="G10" s="6" t="n">
        <v>12750</v>
      </c>
      <c r="H10" s="6" t="n">
        <v>0</v>
      </c>
      <c r="I10" s="6" t="n">
        <v>12750</v>
      </c>
      <c r="J10" s="6" t="n">
        <v>0</v>
      </c>
      <c r="K10" s="5" t="inlineStr">
        <is>
          <t>FULLY_SETTLED</t>
        </is>
      </c>
      <c r="L10" s="6" t="n">
        <v>9</v>
      </c>
    </row>
    <row r="11" ht="20" customHeight="1">
      <c r="A11" s="5" t="inlineStr">
        <is>
          <t>2019-07</t>
        </is>
      </c>
      <c r="B11" s="6" t="n">
        <v>2019</v>
      </c>
      <c r="C11" s="5" t="inlineStr">
        <is>
          <t>July</t>
        </is>
      </c>
      <c r="D11" s="6" t="n">
        <v>14981.01</v>
      </c>
      <c r="E11" s="5" t="inlineStr">
        <is>
          <t>00005876</t>
        </is>
      </c>
      <c r="F11" s="5" t="inlineStr">
        <is>
          <t>2019-08-06</t>
        </is>
      </c>
      <c r="G11" s="6" t="n">
        <v>14429</v>
      </c>
      <c r="H11" s="6" t="n">
        <v>552.01</v>
      </c>
      <c r="I11" s="6" t="n">
        <v>14429</v>
      </c>
      <c r="J11" s="6" t="n">
        <v>552.01</v>
      </c>
      <c r="K11" s="5" t="inlineStr">
        <is>
          <t>PARTIALLY_SETTLED</t>
        </is>
      </c>
      <c r="L11" s="6" t="n">
        <v>11</v>
      </c>
    </row>
    <row r="12" ht="20" customHeight="1">
      <c r="A12" s="5" t="inlineStr">
        <is>
          <t>2019-08</t>
        </is>
      </c>
      <c r="B12" s="6" t="n">
        <v>2019</v>
      </c>
      <c r="C12" s="5" t="inlineStr">
        <is>
          <t>August</t>
        </is>
      </c>
      <c r="D12" s="6" t="n">
        <v>13874.99</v>
      </c>
      <c r="E12" s="5" t="inlineStr">
        <is>
          <t>00005988</t>
        </is>
      </c>
      <c r="F12" s="5" t="inlineStr">
        <is>
          <t>2019-09-04</t>
        </is>
      </c>
      <c r="G12" s="6" t="n">
        <v>13875</v>
      </c>
      <c r="H12" s="6" t="n">
        <v>-0.01</v>
      </c>
      <c r="I12" s="6" t="n">
        <v>13874.99</v>
      </c>
      <c r="J12" s="6" t="n">
        <v>0</v>
      </c>
      <c r="K12" s="5" t="inlineStr">
        <is>
          <t>FULLY_SETTLED</t>
        </is>
      </c>
      <c r="L12" s="6" t="n">
        <v>10</v>
      </c>
    </row>
    <row r="13" ht="20" customHeight="1">
      <c r="A13" s="5" t="inlineStr">
        <is>
          <t>2019-09</t>
        </is>
      </c>
      <c r="B13" s="6" t="n">
        <v>2019</v>
      </c>
      <c r="C13" s="5" t="inlineStr">
        <is>
          <t>September</t>
        </is>
      </c>
      <c r="D13" s="6" t="n">
        <v>13322.98</v>
      </c>
      <c r="E13" s="5" t="inlineStr">
        <is>
          <t>00006104</t>
        </is>
      </c>
      <c r="F13" s="5" t="inlineStr">
        <is>
          <t>2019-10-21</t>
        </is>
      </c>
      <c r="G13" s="6" t="n">
        <v>13875</v>
      </c>
      <c r="H13" s="6" t="n">
        <v>-552.02</v>
      </c>
      <c r="I13" s="6" t="n">
        <v>13874.98</v>
      </c>
      <c r="J13" s="6" t="n">
        <v>0</v>
      </c>
      <c r="K13" s="5" t="inlineStr">
        <is>
          <t>OVERPAID</t>
        </is>
      </c>
      <c r="L13" s="6" t="n">
        <v>9</v>
      </c>
    </row>
    <row r="14" ht="20" customHeight="1">
      <c r="A14" s="5" t="inlineStr">
        <is>
          <t>2019-10</t>
        </is>
      </c>
      <c r="B14" s="6" t="n">
        <v>2019</v>
      </c>
      <c r="C14" s="5" t="inlineStr">
        <is>
          <t>October</t>
        </is>
      </c>
      <c r="D14" s="6" t="n">
        <v>10874.96</v>
      </c>
      <c r="E14" s="5" t="inlineStr">
        <is>
          <t>00006316</t>
        </is>
      </c>
      <c r="F14" s="5" t="inlineStr">
        <is>
          <t>2019-12-09</t>
        </is>
      </c>
      <c r="G14" s="6" t="n">
        <v>10875</v>
      </c>
      <c r="H14" s="6" t="n">
        <v>-0.04</v>
      </c>
      <c r="I14" s="6" t="n">
        <v>10874.96</v>
      </c>
      <c r="J14" s="6" t="n">
        <v>-0</v>
      </c>
      <c r="K14" s="5" t="inlineStr">
        <is>
          <t>FULLY_SETTLED</t>
        </is>
      </c>
      <c r="L14" s="6" t="n">
        <v>7</v>
      </c>
    </row>
    <row r="15" ht="20" customHeight="1">
      <c r="A15" s="5" t="inlineStr">
        <is>
          <t>2019-11</t>
        </is>
      </c>
      <c r="B15" s="6" t="n">
        <v>2019</v>
      </c>
      <c r="C15" s="5" t="inlineStr">
        <is>
          <t>November</t>
        </is>
      </c>
      <c r="D15" s="6" t="n">
        <v>12914.93</v>
      </c>
      <c r="E15" s="5" t="inlineStr">
        <is>
          <t>00006376</t>
        </is>
      </c>
      <c r="F15" s="5" t="inlineStr">
        <is>
          <t>2019-12-27</t>
        </is>
      </c>
      <c r="G15" s="6" t="n">
        <v>12915</v>
      </c>
      <c r="H15" s="6" t="n">
        <v>-0.07000000000000001</v>
      </c>
      <c r="I15" s="6" t="n">
        <v>12914.93</v>
      </c>
      <c r="J15" s="6" t="n">
        <v>0</v>
      </c>
      <c r="K15" s="5" t="inlineStr">
        <is>
          <t>FULLY_SETTLED</t>
        </is>
      </c>
      <c r="L15" s="6" t="n">
        <v>11</v>
      </c>
    </row>
    <row r="16" ht="20" customHeight="1">
      <c r="A16" s="5" t="inlineStr">
        <is>
          <t>2019-12</t>
        </is>
      </c>
      <c r="B16" s="6" t="n">
        <v>2019</v>
      </c>
      <c r="C16" s="5" t="inlineStr">
        <is>
          <t>December</t>
        </is>
      </c>
      <c r="D16" s="6" t="n">
        <v>12731.05</v>
      </c>
      <c r="E16" s="5" t="inlineStr">
        <is>
          <t>00006423</t>
        </is>
      </c>
      <c r="F16" s="5" t="inlineStr">
        <is>
          <t>2020-01-17</t>
        </is>
      </c>
      <c r="G16" s="6" t="n">
        <v>12715</v>
      </c>
      <c r="H16" s="6" t="n">
        <v>16.05</v>
      </c>
      <c r="I16" s="6" t="n">
        <v>12715</v>
      </c>
      <c r="J16" s="6" t="n">
        <v>16.05</v>
      </c>
      <c r="K16" s="5" t="inlineStr">
        <is>
          <t>PARTIALLY_SETTLED</t>
        </is>
      </c>
      <c r="L16" s="6" t="n">
        <v>8</v>
      </c>
    </row>
    <row r="17" ht="20" customHeight="1">
      <c r="A17" s="5" t="inlineStr">
        <is>
          <t>2020-01</t>
        </is>
      </c>
      <c r="B17" s="6" t="n">
        <v>2020</v>
      </c>
      <c r="C17" s="5" t="inlineStr">
        <is>
          <t>January</t>
        </is>
      </c>
      <c r="D17" s="6" t="n">
        <v>15302.89</v>
      </c>
      <c r="E17" s="5" t="inlineStr">
        <is>
          <t>00006685</t>
        </is>
      </c>
      <c r="F17" s="5" t="inlineStr">
        <is>
          <t>2020-03-03</t>
        </is>
      </c>
      <c r="G17" s="6" t="n">
        <v>15302.8</v>
      </c>
      <c r="H17" s="6" t="n">
        <v>0.09</v>
      </c>
      <c r="I17" s="6" t="n">
        <v>15302.8</v>
      </c>
      <c r="J17" s="6" t="n">
        <v>0.09</v>
      </c>
      <c r="K17" s="5" t="inlineStr">
        <is>
          <t>PARTIALLY_SETTLED</t>
        </is>
      </c>
      <c r="L17" s="6" t="n">
        <v>10</v>
      </c>
    </row>
    <row r="18" ht="20" customHeight="1">
      <c r="A18" s="5" t="inlineStr">
        <is>
          <t>2020-02</t>
        </is>
      </c>
      <c r="B18" s="6" t="n">
        <v>2020</v>
      </c>
      <c r="C18" s="5" t="inlineStr">
        <is>
          <t>February</t>
        </is>
      </c>
      <c r="D18" s="6" t="n">
        <v>11250.03</v>
      </c>
      <c r="E18" s="5" t="inlineStr">
        <is>
          <t>—</t>
        </is>
      </c>
      <c r="F18" s="5" t="inlineStr">
        <is>
          <t>—</t>
        </is>
      </c>
      <c r="G18" s="5" t="inlineStr">
        <is>
          <t>—</t>
        </is>
      </c>
      <c r="H18" s="5" t="inlineStr">
        <is>
          <t>—</t>
        </is>
      </c>
      <c r="I18" s="6" t="n">
        <v>0</v>
      </c>
      <c r="J18" s="6" t="n">
        <v>11250.03</v>
      </c>
      <c r="K18" s="5" t="inlineStr">
        <is>
          <t>UNPAID</t>
        </is>
      </c>
      <c r="L18" s="6" t="n">
        <v>8</v>
      </c>
    </row>
    <row r="19" ht="20" customHeight="1">
      <c r="A19" s="5" t="inlineStr">
        <is>
          <t>2020-03</t>
        </is>
      </c>
      <c r="B19" s="6" t="n">
        <v>2020</v>
      </c>
      <c r="C19" s="5" t="inlineStr">
        <is>
          <t>March</t>
        </is>
      </c>
      <c r="D19" s="6" t="n">
        <v>10125.03</v>
      </c>
      <c r="E19" s="5" t="inlineStr">
        <is>
          <t>—</t>
        </is>
      </c>
      <c r="F19" s="5" t="inlineStr">
        <is>
          <t>—</t>
        </is>
      </c>
      <c r="G19" s="5" t="inlineStr">
        <is>
          <t>—</t>
        </is>
      </c>
      <c r="H19" s="5" t="inlineStr">
        <is>
          <t>—</t>
        </is>
      </c>
      <c r="I19" s="6" t="n">
        <v>0</v>
      </c>
      <c r="J19" s="6" t="n">
        <v>10125.03</v>
      </c>
      <c r="K19" s="5" t="inlineStr">
        <is>
          <t>UNPAID</t>
        </is>
      </c>
      <c r="L19" s="6" t="n">
        <v>7</v>
      </c>
    </row>
    <row r="20" ht="20" customHeight="1">
      <c r="A20" s="5" t="inlineStr">
        <is>
          <t>2021-03</t>
        </is>
      </c>
      <c r="B20" s="6" t="n">
        <v>2021</v>
      </c>
      <c r="C20" s="5" t="inlineStr">
        <is>
          <t>March</t>
        </is>
      </c>
      <c r="D20" s="6" t="n">
        <v>12518.2</v>
      </c>
      <c r="E20" s="5" t="inlineStr">
        <is>
          <t>00008420</t>
        </is>
      </c>
      <c r="F20" s="5" t="inlineStr">
        <is>
          <t>2021-04-09</t>
        </is>
      </c>
      <c r="G20" s="6" t="n">
        <v>12518.21</v>
      </c>
      <c r="H20" s="6" t="n">
        <v>-0.01</v>
      </c>
      <c r="I20" s="6" t="n">
        <v>12518.2</v>
      </c>
      <c r="J20" s="6" t="n">
        <v>0</v>
      </c>
      <c r="K20" s="5" t="inlineStr">
        <is>
          <t>FULLY_SETTLED</t>
        </is>
      </c>
      <c r="L20" s="6" t="n">
        <v>7</v>
      </c>
    </row>
    <row r="21" ht="20" customHeight="1">
      <c r="A21" s="5" t="inlineStr">
        <is>
          <t>2021-04</t>
        </is>
      </c>
      <c r="B21" s="6" t="n">
        <v>2021</v>
      </c>
      <c r="C21" s="5" t="inlineStr">
        <is>
          <t>April</t>
        </is>
      </c>
      <c r="D21" s="6" t="n">
        <v>9765.76</v>
      </c>
      <c r="E21" s="5" t="inlineStr">
        <is>
          <t>00008764</t>
        </is>
      </c>
      <c r="F21" s="5" t="inlineStr">
        <is>
          <t>2021-05-11</t>
        </is>
      </c>
      <c r="G21" s="6" t="n">
        <v>9765.76</v>
      </c>
      <c r="H21" s="6" t="n">
        <v>0</v>
      </c>
      <c r="I21" s="6" t="n">
        <v>9765.76</v>
      </c>
      <c r="J21" s="6" t="n">
        <v>0</v>
      </c>
      <c r="K21" s="5" t="inlineStr">
        <is>
          <t>FULLY_SETTLED</t>
        </is>
      </c>
      <c r="L21" s="6" t="n">
        <v>7</v>
      </c>
    </row>
    <row r="22" ht="20" customHeight="1">
      <c r="A22" s="5" t="inlineStr">
        <is>
          <t>2021-05</t>
        </is>
      </c>
      <c r="B22" s="6" t="n">
        <v>2021</v>
      </c>
      <c r="C22" s="5" t="inlineStr">
        <is>
          <t>May</t>
        </is>
      </c>
      <c r="D22" s="6" t="n">
        <v>12222.9</v>
      </c>
      <c r="E22" s="5" t="inlineStr">
        <is>
          <t>00009315</t>
        </is>
      </c>
      <c r="F22" s="5" t="inlineStr">
        <is>
          <t>2021-06-03</t>
        </is>
      </c>
      <c r="G22" s="6" t="n">
        <v>12222.9</v>
      </c>
      <c r="H22" s="6" t="n">
        <v>0</v>
      </c>
      <c r="I22" s="6" t="n">
        <v>12222.9</v>
      </c>
      <c r="J22" s="6" t="n">
        <v>-0</v>
      </c>
      <c r="K22" s="5" t="inlineStr">
        <is>
          <t>FULLY_SETTLED</t>
        </is>
      </c>
      <c r="L22" s="6" t="n">
        <v>9</v>
      </c>
    </row>
    <row r="23" ht="20" customHeight="1">
      <c r="A23" s="5" t="inlineStr">
        <is>
          <t>2021-06</t>
        </is>
      </c>
      <c r="B23" s="6" t="n">
        <v>2021</v>
      </c>
      <c r="C23" s="5" t="inlineStr">
        <is>
          <t>June</t>
        </is>
      </c>
      <c r="D23" s="6" t="n">
        <v>11292.11</v>
      </c>
      <c r="E23" s="5" t="inlineStr">
        <is>
          <t>00009996</t>
        </is>
      </c>
      <c r="F23" s="5" t="inlineStr">
        <is>
          <t>2021-07-01</t>
        </is>
      </c>
      <c r="G23" s="6" t="n">
        <v>11292.11</v>
      </c>
      <c r="H23" s="6" t="n">
        <v>0</v>
      </c>
      <c r="I23" s="6" t="n">
        <v>11292.11</v>
      </c>
      <c r="J23" s="6" t="n">
        <v>0</v>
      </c>
      <c r="K23" s="5" t="inlineStr">
        <is>
          <t>FULLY_SETTLED</t>
        </is>
      </c>
      <c r="L23" s="6" t="n">
        <v>8</v>
      </c>
    </row>
    <row r="24" ht="20" customHeight="1">
      <c r="A24" s="5" t="inlineStr">
        <is>
          <t>2021-07</t>
        </is>
      </c>
      <c r="B24" s="6" t="n">
        <v>2021</v>
      </c>
      <c r="C24" s="5" t="inlineStr">
        <is>
          <t>July</t>
        </is>
      </c>
      <c r="D24" s="6" t="n">
        <v>9079.940000000001</v>
      </c>
      <c r="E24" s="5" t="inlineStr">
        <is>
          <t>00010226</t>
        </is>
      </c>
      <c r="F24" s="5" t="inlineStr">
        <is>
          <t>2021-08-05</t>
        </is>
      </c>
      <c r="G24" s="6" t="n">
        <v>9079.940000000001</v>
      </c>
      <c r="H24" s="6" t="n">
        <v>0</v>
      </c>
      <c r="I24" s="6" t="n">
        <v>9079.940000000001</v>
      </c>
      <c r="J24" s="6" t="n">
        <v>0</v>
      </c>
      <c r="K24" s="5" t="inlineStr">
        <is>
          <t>FULLY_SETTLED</t>
        </is>
      </c>
      <c r="L24" s="6" t="n">
        <v>7</v>
      </c>
    </row>
    <row r="25" ht="20" customHeight="1">
      <c r="A25" s="5" t="inlineStr">
        <is>
          <t>2021-08</t>
        </is>
      </c>
      <c r="B25" s="6" t="n">
        <v>2021</v>
      </c>
      <c r="C25" s="5" t="inlineStr">
        <is>
          <t>August</t>
        </is>
      </c>
      <c r="D25" s="6" t="n">
        <v>13012.51</v>
      </c>
      <c r="E25" s="5" t="inlineStr">
        <is>
          <t>00010584</t>
        </is>
      </c>
      <c r="F25" s="5" t="inlineStr">
        <is>
          <t>2021-09-02</t>
        </is>
      </c>
      <c r="G25" s="6" t="n">
        <v>13012.5</v>
      </c>
      <c r="H25" s="6" t="n">
        <v>0.01</v>
      </c>
      <c r="I25" s="6" t="n">
        <v>13012.5</v>
      </c>
      <c r="J25" s="6" t="n">
        <v>0.01</v>
      </c>
      <c r="K25" s="5" t="inlineStr">
        <is>
          <t>FULLY_SETTLED</t>
        </is>
      </c>
      <c r="L25" s="6" t="n">
        <v>15</v>
      </c>
    </row>
    <row r="26" ht="20" customHeight="1">
      <c r="A26" s="5" t="inlineStr">
        <is>
          <t>2021-09</t>
        </is>
      </c>
      <c r="B26" s="6" t="n">
        <v>2021</v>
      </c>
      <c r="C26" s="5" t="inlineStr">
        <is>
          <t>September</t>
        </is>
      </c>
      <c r="D26" s="6" t="n">
        <v>13260.28</v>
      </c>
      <c r="E26" s="5" t="inlineStr">
        <is>
          <t>00011068</t>
        </is>
      </c>
      <c r="F26" s="5" t="inlineStr">
        <is>
          <t>2021-10-07</t>
        </is>
      </c>
      <c r="G26" s="6" t="n">
        <v>13260.28</v>
      </c>
      <c r="H26" s="6" t="n">
        <v>0</v>
      </c>
      <c r="I26" s="6" t="n">
        <v>13260.28</v>
      </c>
      <c r="J26" s="6" t="n">
        <v>0</v>
      </c>
      <c r="K26" s="5" t="inlineStr">
        <is>
          <t>FULLY_SETTLED</t>
        </is>
      </c>
      <c r="L26" s="6" t="n">
        <v>11</v>
      </c>
    </row>
    <row r="27" ht="20" customHeight="1">
      <c r="A27" s="5" t="inlineStr">
        <is>
          <t>2021-10</t>
        </is>
      </c>
      <c r="B27" s="6" t="n">
        <v>2021</v>
      </c>
      <c r="C27" s="5" t="inlineStr">
        <is>
          <t>October</t>
        </is>
      </c>
      <c r="D27" s="6" t="n">
        <v>13329.62</v>
      </c>
      <c r="E27" s="5" t="inlineStr">
        <is>
          <t>00011558</t>
        </is>
      </c>
      <c r="F27" s="5" t="inlineStr">
        <is>
          <t>2021-11-04</t>
        </is>
      </c>
      <c r="G27" s="6" t="n">
        <v>12929.71</v>
      </c>
      <c r="H27" s="6" t="n">
        <v>399.91</v>
      </c>
      <c r="I27" s="6" t="n">
        <v>12929.71</v>
      </c>
      <c r="J27" s="6" t="n">
        <v>399.91</v>
      </c>
      <c r="K27" s="5" t="inlineStr">
        <is>
          <t>PARTIALLY_SETTLED</t>
        </is>
      </c>
      <c r="L27" s="6" t="n">
        <v>11</v>
      </c>
    </row>
    <row r="28" ht="20" customHeight="1">
      <c r="A28" s="5" t="inlineStr">
        <is>
          <t>2021-11</t>
        </is>
      </c>
      <c r="B28" s="6" t="n">
        <v>2021</v>
      </c>
      <c r="C28" s="5" t="inlineStr">
        <is>
          <t>November</t>
        </is>
      </c>
      <c r="D28" s="6" t="n">
        <v>16378.91</v>
      </c>
      <c r="E28" s="5" t="inlineStr">
        <is>
          <t>00012719</t>
        </is>
      </c>
      <c r="F28" s="5" t="inlineStr">
        <is>
          <t>2022-01-31</t>
        </is>
      </c>
      <c r="G28" s="6" t="n">
        <v>17018.3</v>
      </c>
      <c r="H28" s="6" t="n">
        <v>-639.39</v>
      </c>
      <c r="I28" s="6" t="n">
        <v>16778.82</v>
      </c>
      <c r="J28" s="6" t="n">
        <v>0</v>
      </c>
      <c r="K28" s="5" t="inlineStr">
        <is>
          <t>OVERPAID</t>
        </is>
      </c>
      <c r="L28" s="6" t="n">
        <v>10</v>
      </c>
    </row>
    <row r="29" ht="20" customHeight="1">
      <c r="A29" s="5" t="inlineStr">
        <is>
          <t>2021-12</t>
        </is>
      </c>
      <c r="B29" s="6" t="n">
        <v>2021</v>
      </c>
      <c r="C29" s="5" t="inlineStr">
        <is>
          <t>December</t>
        </is>
      </c>
      <c r="D29" s="6" t="n">
        <v>12399.78</v>
      </c>
      <c r="E29" s="5" t="inlineStr">
        <is>
          <t>00012146</t>
        </is>
      </c>
      <c r="F29" s="5" t="inlineStr">
        <is>
          <t>2021-12-20</t>
        </is>
      </c>
      <c r="G29" s="6" t="n">
        <v>12160.3</v>
      </c>
      <c r="H29" s="6" t="n">
        <v>239.48</v>
      </c>
      <c r="I29" s="6" t="n">
        <v>12160.3</v>
      </c>
      <c r="J29" s="6" t="n">
        <v>239.48</v>
      </c>
      <c r="K29" s="5" t="inlineStr">
        <is>
          <t>PARTIALLY_SETTLED</t>
        </is>
      </c>
      <c r="L29" s="6" t="n">
        <v>6</v>
      </c>
    </row>
    <row r="30" ht="20" customHeight="1">
      <c r="A30" s="5" t="inlineStr">
        <is>
          <t>2022-01</t>
        </is>
      </c>
      <c r="B30" s="6" t="n">
        <v>2022</v>
      </c>
      <c r="C30" s="5" t="inlineStr">
        <is>
          <t>January</t>
        </is>
      </c>
      <c r="D30" s="6" t="n">
        <v>14982.58</v>
      </c>
      <c r="E30" s="5" t="inlineStr">
        <is>
          <t>00013245</t>
        </is>
      </c>
      <c r="F30" s="5" t="inlineStr">
        <is>
          <t>2022-03-17</t>
        </is>
      </c>
      <c r="G30" s="6" t="n">
        <v>14982.58</v>
      </c>
      <c r="H30" s="6" t="n">
        <v>0</v>
      </c>
      <c r="I30" s="6" t="n">
        <v>14982.58</v>
      </c>
      <c r="J30" s="6" t="n">
        <v>0</v>
      </c>
      <c r="K30" s="5" t="inlineStr">
        <is>
          <t>FULLY_SETTLED</t>
        </is>
      </c>
      <c r="L30" s="6" t="n">
        <v>7</v>
      </c>
    </row>
    <row r="31" ht="20" customHeight="1">
      <c r="A31" s="5" t="inlineStr">
        <is>
          <t>2022-02</t>
        </is>
      </c>
      <c r="B31" s="6" t="n">
        <v>2022</v>
      </c>
      <c r="C31" s="5" t="inlineStr">
        <is>
          <t>February</t>
        </is>
      </c>
      <c r="D31" s="6" t="n">
        <v>13949</v>
      </c>
      <c r="E31" s="5" t="inlineStr">
        <is>
          <t>00013583</t>
        </is>
      </c>
      <c r="F31" s="5" t="inlineStr">
        <is>
          <t>2022-04-12</t>
        </is>
      </c>
      <c r="G31" s="6" t="n">
        <v>13949</v>
      </c>
      <c r="H31" s="6" t="n">
        <v>0</v>
      </c>
      <c r="I31" s="6" t="n">
        <v>13949</v>
      </c>
      <c r="J31" s="6" t="n">
        <v>0</v>
      </c>
      <c r="K31" s="5" t="inlineStr">
        <is>
          <t>FULLY_SETTLED</t>
        </is>
      </c>
      <c r="L31" s="6" t="n">
        <v>8</v>
      </c>
    </row>
    <row r="32" ht="20" customHeight="1">
      <c r="A32" s="5" t="inlineStr">
        <is>
          <t>2022-03</t>
        </is>
      </c>
      <c r="B32" s="6" t="n">
        <v>2022</v>
      </c>
      <c r="C32" s="5" t="inlineStr">
        <is>
          <t>March</t>
        </is>
      </c>
      <c r="D32" s="6" t="n">
        <v>14943.48</v>
      </c>
      <c r="E32" s="5" t="inlineStr">
        <is>
          <t>—</t>
        </is>
      </c>
      <c r="F32" s="5" t="inlineStr">
        <is>
          <t>—</t>
        </is>
      </c>
      <c r="G32" s="5" t="inlineStr">
        <is>
          <t>—</t>
        </is>
      </c>
      <c r="H32" s="5" t="inlineStr">
        <is>
          <t>—</t>
        </is>
      </c>
      <c r="I32" s="6" t="n">
        <v>0</v>
      </c>
      <c r="J32" s="6" t="n">
        <v>14943.48</v>
      </c>
      <c r="K32" s="5" t="inlineStr">
        <is>
          <t>UNPAID</t>
        </is>
      </c>
      <c r="L32" s="6" t="n">
        <v>8</v>
      </c>
    </row>
    <row r="33" ht="20" customHeight="1">
      <c r="A33" s="5" t="inlineStr">
        <is>
          <t>2022-04</t>
        </is>
      </c>
      <c r="B33" s="6" t="n">
        <v>2022</v>
      </c>
      <c r="C33" s="5" t="inlineStr">
        <is>
          <t>April</t>
        </is>
      </c>
      <c r="D33" s="6" t="n">
        <v>18184.64</v>
      </c>
      <c r="E33" s="5" t="inlineStr">
        <is>
          <t>00014135</t>
        </is>
      </c>
      <c r="F33" s="5" t="inlineStr">
        <is>
          <t>2022-06-01</t>
        </is>
      </c>
      <c r="G33" s="6" t="n">
        <v>18184.64</v>
      </c>
      <c r="H33" s="6" t="n">
        <v>0</v>
      </c>
      <c r="I33" s="6" t="n">
        <v>18184.64</v>
      </c>
      <c r="J33" s="6" t="n">
        <v>0</v>
      </c>
      <c r="K33" s="5" t="inlineStr">
        <is>
          <t>FULLY_SETTLED</t>
        </is>
      </c>
      <c r="L33" s="6" t="n">
        <v>8</v>
      </c>
    </row>
    <row r="34" ht="20" customHeight="1">
      <c r="A34" s="5" t="inlineStr">
        <is>
          <t>2022-05</t>
        </is>
      </c>
      <c r="B34" s="6" t="n">
        <v>2022</v>
      </c>
      <c r="C34" s="5" t="inlineStr">
        <is>
          <t>May</t>
        </is>
      </c>
      <c r="D34" s="6" t="n">
        <v>18947.57</v>
      </c>
      <c r="E34" s="5" t="inlineStr">
        <is>
          <t>00015071</t>
        </is>
      </c>
      <c r="F34" s="5" t="inlineStr">
        <is>
          <t>2022-07-26</t>
        </is>
      </c>
      <c r="G34" s="6" t="n">
        <v>17275.67</v>
      </c>
      <c r="H34" s="6" t="n">
        <v>1671.9</v>
      </c>
      <c r="I34" s="6" t="n">
        <v>17275.67</v>
      </c>
      <c r="J34" s="6" t="n">
        <v>1671.9</v>
      </c>
      <c r="K34" s="5" t="inlineStr">
        <is>
          <t>PARTIALLY_SETTLED</t>
        </is>
      </c>
      <c r="L34" s="6" t="n">
        <v>9</v>
      </c>
    </row>
    <row r="35" ht="20" customHeight="1">
      <c r="A35" s="5" t="inlineStr">
        <is>
          <t>2022-06</t>
        </is>
      </c>
      <c r="B35" s="6" t="n">
        <v>2022</v>
      </c>
      <c r="C35" s="5" t="inlineStr">
        <is>
          <t>June</t>
        </is>
      </c>
      <c r="D35" s="6" t="n">
        <v>16103.76</v>
      </c>
      <c r="E35" s="5" t="inlineStr">
        <is>
          <t>00015473</t>
        </is>
      </c>
      <c r="F35" s="5" t="inlineStr">
        <is>
          <t>2022-08-11</t>
        </is>
      </c>
      <c r="G35" s="6" t="n">
        <v>14488.95</v>
      </c>
      <c r="H35" s="6" t="n">
        <v>1614.81</v>
      </c>
      <c r="I35" s="6" t="n">
        <v>14488.95</v>
      </c>
      <c r="J35" s="6" t="n">
        <v>1614.81</v>
      </c>
      <c r="K35" s="5" t="inlineStr">
        <is>
          <t>PARTIALLY_SETTLED</t>
        </is>
      </c>
      <c r="L35" s="6" t="n">
        <v>8</v>
      </c>
    </row>
    <row r="36" ht="20" customHeight="1">
      <c r="A36" s="5" t="inlineStr">
        <is>
          <t>2022-07</t>
        </is>
      </c>
      <c r="B36" s="6" t="n">
        <v>2022</v>
      </c>
      <c r="C36" s="5" t="inlineStr">
        <is>
          <t>July</t>
        </is>
      </c>
      <c r="D36" s="6" t="n">
        <v>17169.29</v>
      </c>
      <c r="E36" s="5" t="inlineStr">
        <is>
          <t>00015987</t>
        </is>
      </c>
      <c r="F36" s="5" t="inlineStr">
        <is>
          <t>2022-09-10</t>
        </is>
      </c>
      <c r="G36" s="6" t="n">
        <v>17169.29</v>
      </c>
      <c r="H36" s="6" t="n">
        <v>0</v>
      </c>
      <c r="I36" s="6" t="n">
        <v>17169.29</v>
      </c>
      <c r="J36" s="6" t="n">
        <v>0</v>
      </c>
      <c r="K36" s="5" t="inlineStr">
        <is>
          <t>FULLY_SETTLED</t>
        </is>
      </c>
      <c r="L36" s="6" t="n">
        <v>5</v>
      </c>
    </row>
    <row r="37" ht="20" customHeight="1">
      <c r="A37" s="5" t="inlineStr">
        <is>
          <t>2022-08</t>
        </is>
      </c>
      <c r="B37" s="6" t="n">
        <v>2022</v>
      </c>
      <c r="C37" s="5" t="inlineStr">
        <is>
          <t>August</t>
        </is>
      </c>
      <c r="D37" s="6" t="n">
        <v>15337.5</v>
      </c>
      <c r="E37" s="5" t="inlineStr">
        <is>
          <t>00016648</t>
        </is>
      </c>
      <c r="F37" s="5" t="inlineStr">
        <is>
          <t>2022-10-20</t>
        </is>
      </c>
      <c r="G37" s="6" t="n">
        <v>15885.27</v>
      </c>
      <c r="H37" s="6" t="n">
        <v>-547.77</v>
      </c>
      <c r="I37" s="6" t="n">
        <v>15337.5</v>
      </c>
      <c r="J37" s="6" t="n">
        <v>0</v>
      </c>
      <c r="K37" s="5" t="inlineStr">
        <is>
          <t>FULLY_SETTLED</t>
        </is>
      </c>
      <c r="L37" s="6" t="n">
        <v>9</v>
      </c>
    </row>
    <row r="38" ht="20" customHeight="1">
      <c r="A38" s="5" t="inlineStr">
        <is>
          <t>2022-09</t>
        </is>
      </c>
      <c r="B38" s="6" t="n">
        <v>2022</v>
      </c>
      <c r="C38" s="5" t="inlineStr">
        <is>
          <t>September</t>
        </is>
      </c>
      <c r="D38" s="6" t="n">
        <v>16606.08</v>
      </c>
      <c r="E38" s="5" t="inlineStr">
        <is>
          <t>00017073</t>
        </is>
      </c>
      <c r="F38" s="5" t="inlineStr">
        <is>
          <t>2022-11-24</t>
        </is>
      </c>
      <c r="G38" s="6" t="n">
        <v>13838.4</v>
      </c>
      <c r="H38" s="6" t="n">
        <v>2767.68</v>
      </c>
      <c r="I38" s="6" t="n">
        <v>13838.4</v>
      </c>
      <c r="J38" s="6" t="n">
        <v>2767.68</v>
      </c>
      <c r="K38" s="5" t="inlineStr">
        <is>
          <t>PARTIALLY_SETTLED</t>
        </is>
      </c>
      <c r="L38" s="6" t="n">
        <v>5</v>
      </c>
    </row>
    <row r="39" ht="20" customHeight="1">
      <c r="A39" s="5" t="inlineStr">
        <is>
          <t>2022-10</t>
        </is>
      </c>
      <c r="B39" s="6" t="n">
        <v>2022</v>
      </c>
      <c r="C39" s="5" t="inlineStr">
        <is>
          <t>October</t>
        </is>
      </c>
      <c r="D39" s="6" t="n">
        <v>15222.24</v>
      </c>
      <c r="E39" s="5" t="inlineStr">
        <is>
          <t>00017578</t>
        </is>
      </c>
      <c r="F39" s="5" t="inlineStr">
        <is>
          <t>2022-12-19</t>
        </is>
      </c>
      <c r="G39" s="6" t="n">
        <v>17989.92</v>
      </c>
      <c r="H39" s="6" t="n">
        <v>-2767.68</v>
      </c>
      <c r="I39" s="6" t="n">
        <v>15222.24</v>
      </c>
      <c r="J39" s="6" t="n">
        <v>0</v>
      </c>
      <c r="K39" s="5" t="inlineStr">
        <is>
          <t>FULLY_SETTLED</t>
        </is>
      </c>
      <c r="L39" s="6" t="n">
        <v>5</v>
      </c>
    </row>
    <row r="40" ht="20" customHeight="1">
      <c r="A40" s="5" t="inlineStr">
        <is>
          <t>2022-11</t>
        </is>
      </c>
      <c r="B40" s="6" t="n">
        <v>2022</v>
      </c>
      <c r="C40" s="5" t="inlineStr">
        <is>
          <t>November</t>
        </is>
      </c>
      <c r="D40" s="6" t="n">
        <v>8139.84</v>
      </c>
      <c r="E40" s="5" t="inlineStr">
        <is>
          <t>00017777</t>
        </is>
      </c>
      <c r="F40" s="5" t="inlineStr">
        <is>
          <t>2023-01-19</t>
        </is>
      </c>
      <c r="G40" s="6" t="n">
        <v>10825.92</v>
      </c>
      <c r="H40" s="6" t="n">
        <v>-2686.08</v>
      </c>
      <c r="I40" s="6" t="n">
        <v>10825.92</v>
      </c>
      <c r="J40" s="6" t="n">
        <v>0</v>
      </c>
      <c r="K40" s="5" t="inlineStr">
        <is>
          <t>OVERPAID</t>
        </is>
      </c>
      <c r="L40" s="6" t="n">
        <v>7</v>
      </c>
    </row>
    <row r="41" ht="20" customHeight="1">
      <c r="A41" s="5" t="inlineStr">
        <is>
          <t>2022-12</t>
        </is>
      </c>
      <c r="B41" s="6" t="n">
        <v>2022</v>
      </c>
      <c r="C41" s="5" t="inlineStr">
        <is>
          <t>December</t>
        </is>
      </c>
      <c r="D41" s="6" t="n">
        <v>27870.44</v>
      </c>
      <c r="E41" s="5" t="inlineStr">
        <is>
          <t>00018185</t>
        </is>
      </c>
      <c r="F41" s="5" t="inlineStr">
        <is>
          <t>2023-02-13</t>
        </is>
      </c>
      <c r="G41" s="6" t="n">
        <v>25184.36</v>
      </c>
      <c r="H41" s="6" t="n">
        <v>2686.08</v>
      </c>
      <c r="I41" s="6" t="n">
        <v>25184.36</v>
      </c>
      <c r="J41" s="6" t="n">
        <v>2686.08</v>
      </c>
      <c r="K41" s="5" t="inlineStr">
        <is>
          <t>PARTIALLY_SETTLED</t>
        </is>
      </c>
      <c r="L41" s="6" t="n">
        <v>9</v>
      </c>
    </row>
    <row r="42" ht="20" customHeight="1">
      <c r="A42" s="5" t="inlineStr">
        <is>
          <t>2023-01</t>
        </is>
      </c>
      <c r="B42" s="6" t="n">
        <v>2023</v>
      </c>
      <c r="C42" s="5" t="inlineStr">
        <is>
          <t>January</t>
        </is>
      </c>
      <c r="D42" s="6" t="n">
        <v>11335.68</v>
      </c>
      <c r="E42" s="5" t="inlineStr">
        <is>
          <t>00019176</t>
        </is>
      </c>
      <c r="F42" s="5" t="inlineStr">
        <is>
          <t>2023-03-22</t>
        </is>
      </c>
      <c r="G42" s="6" t="n">
        <v>11335.68</v>
      </c>
      <c r="H42" s="6" t="n">
        <v>0</v>
      </c>
      <c r="I42" s="6" t="n">
        <v>11335.68</v>
      </c>
      <c r="J42" s="6" t="n">
        <v>0</v>
      </c>
      <c r="K42" s="5" t="inlineStr">
        <is>
          <t>FULLY_SETTLED</t>
        </is>
      </c>
      <c r="L42" s="6" t="n">
        <v>4</v>
      </c>
    </row>
    <row r="43" ht="20" customHeight="1">
      <c r="A43" s="5" t="inlineStr">
        <is>
          <t>2023-02</t>
        </is>
      </c>
      <c r="B43" s="6" t="n">
        <v>2023</v>
      </c>
      <c r="C43" s="5" t="inlineStr">
        <is>
          <t>February</t>
        </is>
      </c>
      <c r="D43" s="6" t="n">
        <v>12343.07</v>
      </c>
      <c r="E43" s="5" t="inlineStr">
        <is>
          <t>00020357</t>
        </is>
      </c>
      <c r="F43" s="5" t="inlineStr">
        <is>
          <t>2023-05-02</t>
        </is>
      </c>
      <c r="G43" s="6" t="n">
        <v>12343.07</v>
      </c>
      <c r="H43" s="6" t="n">
        <v>0</v>
      </c>
      <c r="I43" s="6" t="n">
        <v>12343.07</v>
      </c>
      <c r="J43" s="6" t="n">
        <v>-0</v>
      </c>
      <c r="K43" s="5" t="inlineStr">
        <is>
          <t>FULLY_SETTLED</t>
        </is>
      </c>
      <c r="L43" s="6" t="n">
        <v>3</v>
      </c>
    </row>
    <row r="44" ht="20" customHeight="1">
      <c r="A44" s="5" t="inlineStr">
        <is>
          <t>2023-03</t>
        </is>
      </c>
      <c r="B44" s="6" t="n">
        <v>2023</v>
      </c>
      <c r="C44" s="5" t="inlineStr">
        <is>
          <t>March</t>
        </is>
      </c>
      <c r="D44" s="6" t="n">
        <v>16111.5</v>
      </c>
      <c r="E44" s="5" t="inlineStr">
        <is>
          <t>00021193</t>
        </is>
      </c>
      <c r="F44" s="5" t="inlineStr">
        <is>
          <t>2023-05-31</t>
        </is>
      </c>
      <c r="G44" s="6" t="n">
        <v>15409.46</v>
      </c>
      <c r="H44" s="6" t="n">
        <v>702.04</v>
      </c>
      <c r="I44" s="6" t="n">
        <v>15409.46</v>
      </c>
      <c r="J44" s="6" t="n">
        <v>702.04</v>
      </c>
      <c r="K44" s="5" t="inlineStr">
        <is>
          <t>PARTIALLY_SETTLED</t>
        </is>
      </c>
      <c r="L44" s="6" t="n">
        <v>4</v>
      </c>
    </row>
    <row r="45" ht="20" customHeight="1">
      <c r="A45" s="5" t="inlineStr">
        <is>
          <t>2023-04</t>
        </is>
      </c>
      <c r="B45" s="6" t="n">
        <v>2023</v>
      </c>
      <c r="C45" s="5" t="inlineStr">
        <is>
          <t>April</t>
        </is>
      </c>
      <c r="D45" s="6" t="n">
        <v>15140.69</v>
      </c>
      <c r="E45" s="5" t="inlineStr">
        <is>
          <t>00022711</t>
        </is>
      </c>
      <c r="F45" s="5" t="inlineStr">
        <is>
          <t>2023-07-21</t>
        </is>
      </c>
      <c r="G45" s="6" t="n">
        <v>15140.69</v>
      </c>
      <c r="H45" s="6" t="n">
        <v>0</v>
      </c>
      <c r="I45" s="6" t="n">
        <v>15140.69</v>
      </c>
      <c r="J45" s="6" t="n">
        <v>0</v>
      </c>
      <c r="K45" s="5" t="inlineStr">
        <is>
          <t>FULLY_SETTLED</t>
        </is>
      </c>
      <c r="L45" s="6" t="n">
        <v>4</v>
      </c>
    </row>
    <row r="46" ht="20" customHeight="1">
      <c r="A46" s="5" t="inlineStr">
        <is>
          <t>2023-05</t>
        </is>
      </c>
      <c r="B46" s="6" t="n">
        <v>2023</v>
      </c>
      <c r="C46" s="5" t="inlineStr">
        <is>
          <t>May</t>
        </is>
      </c>
      <c r="D46" s="6" t="n">
        <v>13806.77</v>
      </c>
      <c r="E46" s="5" t="inlineStr">
        <is>
          <t>00023280</t>
        </is>
      </c>
      <c r="F46" s="5" t="inlineStr">
        <is>
          <t>2023-08-11</t>
        </is>
      </c>
      <c r="G46" s="6" t="n">
        <v>13806.77</v>
      </c>
      <c r="H46" s="6" t="n">
        <v>0</v>
      </c>
      <c r="I46" s="6" t="n">
        <v>13806.77</v>
      </c>
      <c r="J46" s="6" t="n">
        <v>0</v>
      </c>
      <c r="K46" s="5" t="inlineStr">
        <is>
          <t>FULLY_SETTLED</t>
        </is>
      </c>
      <c r="L46" s="6" t="n">
        <v>4</v>
      </c>
    </row>
    <row r="47" ht="20" customHeight="1">
      <c r="A47" s="5" t="inlineStr">
        <is>
          <t>2023-06</t>
        </is>
      </c>
      <c r="B47" s="6" t="n">
        <v>2023</v>
      </c>
      <c r="C47" s="5" t="inlineStr">
        <is>
          <t>June</t>
        </is>
      </c>
      <c r="D47" s="6" t="n">
        <v>16964.84</v>
      </c>
      <c r="E47" s="5" t="inlineStr">
        <is>
          <t>00023977</t>
        </is>
      </c>
      <c r="F47" s="5" t="inlineStr">
        <is>
          <t>2023-09-05</t>
        </is>
      </c>
      <c r="G47" s="6" t="n">
        <v>16964.84</v>
      </c>
      <c r="H47" s="6" t="n">
        <v>0</v>
      </c>
      <c r="I47" s="6" t="n">
        <v>16964.84</v>
      </c>
      <c r="J47" s="6" t="n">
        <v>-0</v>
      </c>
      <c r="K47" s="5" t="inlineStr">
        <is>
          <t>FULLY_SETTLED</t>
        </is>
      </c>
      <c r="L47" s="6" t="n">
        <v>5</v>
      </c>
    </row>
    <row r="48" ht="20" customHeight="1">
      <c r="A48" s="5" t="inlineStr">
        <is>
          <t>2023-07</t>
        </is>
      </c>
      <c r="B48" s="6" t="n">
        <v>2023</v>
      </c>
      <c r="C48" s="5" t="inlineStr">
        <is>
          <t>July</t>
        </is>
      </c>
      <c r="D48" s="6" t="n">
        <v>13911.54</v>
      </c>
      <c r="E48" s="5" t="inlineStr">
        <is>
          <t>00025394</t>
        </is>
      </c>
      <c r="F48" s="5" t="inlineStr">
        <is>
          <t>2023-10-24</t>
        </is>
      </c>
      <c r="G48" s="6" t="n">
        <v>13911.54</v>
      </c>
      <c r="H48" s="6" t="n">
        <v>0</v>
      </c>
      <c r="I48" s="6" t="n">
        <v>13911.54</v>
      </c>
      <c r="J48" s="6" t="n">
        <v>0</v>
      </c>
      <c r="K48" s="5" t="inlineStr">
        <is>
          <t>FULLY_SETTLED</t>
        </is>
      </c>
      <c r="L48" s="6" t="n">
        <v>5</v>
      </c>
    </row>
    <row r="49" ht="20" customHeight="1">
      <c r="A49" s="5" t="inlineStr">
        <is>
          <t>2023-08</t>
        </is>
      </c>
      <c r="B49" s="6" t="n">
        <v>2023</v>
      </c>
      <c r="C49" s="5" t="inlineStr">
        <is>
          <t>August</t>
        </is>
      </c>
      <c r="D49" s="6" t="n">
        <v>15766.57</v>
      </c>
      <c r="E49" s="5" t="inlineStr">
        <is>
          <t>00026601</t>
        </is>
      </c>
      <c r="F49" s="5" t="inlineStr">
        <is>
          <t>2023-11-29</t>
        </is>
      </c>
      <c r="G49" s="6" t="n">
        <v>12520.81</v>
      </c>
      <c r="H49" s="6" t="n">
        <v>3245.76</v>
      </c>
      <c r="I49" s="6" t="n">
        <v>12520.81</v>
      </c>
      <c r="J49" s="6" t="n">
        <v>3245.76</v>
      </c>
      <c r="K49" s="5" t="inlineStr">
        <is>
          <t>PARTIALLY_SETTLED</t>
        </is>
      </c>
      <c r="L49" s="6" t="n">
        <v>5</v>
      </c>
    </row>
    <row r="50" ht="20" customHeight="1">
      <c r="A50" s="5" t="inlineStr">
        <is>
          <t>2023-09</t>
        </is>
      </c>
      <c r="B50" s="6" t="n">
        <v>2023</v>
      </c>
      <c r="C50" s="5" t="inlineStr">
        <is>
          <t>September</t>
        </is>
      </c>
      <c r="D50" s="6" t="n">
        <v>8026.98</v>
      </c>
      <c r="E50" s="5" t="inlineStr">
        <is>
          <t>00027468</t>
        </is>
      </c>
      <c r="F50" s="5" t="inlineStr">
        <is>
          <t>2023-12-29</t>
        </is>
      </c>
      <c r="G50" s="6" t="n">
        <v>24801.28</v>
      </c>
      <c r="H50" s="6" t="n">
        <v>-16774.3</v>
      </c>
      <c r="I50" s="6" t="n">
        <v>11272.74</v>
      </c>
      <c r="J50" s="6" t="n">
        <v>0</v>
      </c>
      <c r="K50" s="5" t="inlineStr">
        <is>
          <t>OVERPAID</t>
        </is>
      </c>
      <c r="L50" s="6" t="n">
        <v>6</v>
      </c>
    </row>
    <row r="51" ht="20" customHeight="1">
      <c r="A51" s="5" t="inlineStr">
        <is>
          <t>2023-10</t>
        </is>
      </c>
      <c r="B51" s="6" t="n">
        <v>2023</v>
      </c>
      <c r="C51" s="5" t="inlineStr">
        <is>
          <t>October</t>
        </is>
      </c>
      <c r="D51" s="6" t="n">
        <v>13528.54</v>
      </c>
      <c r="E51" s="5" t="inlineStr">
        <is>
          <t>00030269</t>
        </is>
      </c>
      <c r="F51" s="5" t="inlineStr">
        <is>
          <t>2024-04-24</t>
        </is>
      </c>
      <c r="G51" s="6" t="n">
        <v>16151.04</v>
      </c>
      <c r="H51" s="6" t="n">
        <v>-2622.5</v>
      </c>
      <c r="I51" s="6" t="n">
        <v>13528.54</v>
      </c>
      <c r="J51" s="6" t="n">
        <v>0</v>
      </c>
      <c r="K51" s="5" t="inlineStr">
        <is>
          <t>FULLY_SETTLED</t>
        </is>
      </c>
      <c r="L51" s="6" t="n">
        <v>5</v>
      </c>
    </row>
    <row r="52" ht="20" customHeight="1">
      <c r="A52" s="5" t="inlineStr">
        <is>
          <t>2023-11</t>
        </is>
      </c>
      <c r="B52" s="6" t="n">
        <v>2023</v>
      </c>
      <c r="C52" s="5" t="inlineStr">
        <is>
          <t>November</t>
        </is>
      </c>
      <c r="D52" s="6" t="n">
        <v>11625.12</v>
      </c>
      <c r="E52" s="5" t="inlineStr">
        <is>
          <t>00028893</t>
        </is>
      </c>
      <c r="F52" s="5" t="inlineStr">
        <is>
          <t>2024-02-20</t>
        </is>
      </c>
      <c r="G52" s="6" t="n">
        <v>14208.48</v>
      </c>
      <c r="H52" s="6" t="n">
        <v>-2583.36</v>
      </c>
      <c r="I52" s="6" t="n">
        <v>11625.12</v>
      </c>
      <c r="J52" s="6" t="n">
        <v>0</v>
      </c>
      <c r="K52" s="5" t="inlineStr">
        <is>
          <t>FULLY_SETTLED</t>
        </is>
      </c>
      <c r="L52" s="6" t="n">
        <v>3</v>
      </c>
    </row>
    <row r="53" ht="20" customHeight="1">
      <c r="A53" s="5" t="inlineStr">
        <is>
          <t>2023-12</t>
        </is>
      </c>
      <c r="B53" s="6" t="n">
        <v>2023</v>
      </c>
      <c r="C53" s="5" t="inlineStr">
        <is>
          <t>December</t>
        </is>
      </c>
      <c r="D53" s="6" t="n">
        <v>18734.46</v>
      </c>
      <c r="E53" s="5" t="inlineStr">
        <is>
          <t>00035270</t>
        </is>
      </c>
      <c r="F53" s="5" t="inlineStr">
        <is>
          <t>2024-12-04</t>
        </is>
      </c>
      <c r="G53" s="6" t="n">
        <v>18441.12</v>
      </c>
      <c r="H53" s="6" t="n">
        <v>293.34</v>
      </c>
      <c r="I53" s="6" t="n">
        <v>18441.12</v>
      </c>
      <c r="J53" s="6" t="n">
        <v>293.34</v>
      </c>
      <c r="K53" s="5" t="inlineStr">
        <is>
          <t>PARTIALLY_SETTLED</t>
        </is>
      </c>
      <c r="L53" s="6" t="n">
        <v>7</v>
      </c>
    </row>
    <row r="54" ht="20" customHeight="1">
      <c r="A54" s="5" t="inlineStr">
        <is>
          <t>2024-01</t>
        </is>
      </c>
      <c r="B54" s="6" t="n">
        <v>2024</v>
      </c>
      <c r="C54" s="5" t="inlineStr">
        <is>
          <t>January</t>
        </is>
      </c>
      <c r="D54" s="6" t="n">
        <v>11105.31</v>
      </c>
      <c r="E54" s="5" t="inlineStr">
        <is>
          <t>00030891</t>
        </is>
      </c>
      <c r="F54" s="5" t="inlineStr">
        <is>
          <t>2024-05-27</t>
        </is>
      </c>
      <c r="G54" s="6" t="n">
        <v>11105.31</v>
      </c>
      <c r="H54" s="6" t="n">
        <v>0</v>
      </c>
      <c r="I54" s="6" t="n">
        <v>11105.31</v>
      </c>
      <c r="J54" s="6" t="n">
        <v>0</v>
      </c>
      <c r="K54" s="5" t="inlineStr">
        <is>
          <t>FULLY_SETTLED</t>
        </is>
      </c>
      <c r="L54" s="6" t="n">
        <v>6</v>
      </c>
    </row>
    <row r="55" ht="20" customHeight="1">
      <c r="A55" s="5" t="inlineStr">
        <is>
          <t>2024-02</t>
        </is>
      </c>
      <c r="B55" s="6" t="n">
        <v>2024</v>
      </c>
      <c r="C55" s="5" t="inlineStr">
        <is>
          <t>February</t>
        </is>
      </c>
      <c r="D55" s="6" t="n">
        <v>13862.53</v>
      </c>
      <c r="E55" s="5" t="inlineStr">
        <is>
          <t>00032896</t>
        </is>
      </c>
      <c r="F55" s="5" t="inlineStr">
        <is>
          <t>2024-08-23</t>
        </is>
      </c>
      <c r="G55" s="6" t="n">
        <v>17634.86</v>
      </c>
      <c r="H55" s="6" t="n">
        <v>-3772.33</v>
      </c>
      <c r="I55" s="6" t="n">
        <v>13862.53</v>
      </c>
      <c r="J55" s="6" t="n">
        <v>0</v>
      </c>
      <c r="K55" s="5" t="inlineStr">
        <is>
          <t>FULLY_SETTLED</t>
        </is>
      </c>
      <c r="L55" s="6" t="n">
        <v>4</v>
      </c>
    </row>
    <row r="56" ht="20" customHeight="1">
      <c r="A56" s="5" t="inlineStr">
        <is>
          <t>2024-03</t>
        </is>
      </c>
      <c r="B56" s="6" t="n">
        <v>2024</v>
      </c>
      <c r="C56" s="5" t="inlineStr">
        <is>
          <t>March</t>
        </is>
      </c>
      <c r="D56" s="6" t="n">
        <v>15395.18</v>
      </c>
      <c r="E56" s="5" t="inlineStr">
        <is>
          <t>00031792</t>
        </is>
      </c>
      <c r="F56" s="5" t="inlineStr">
        <is>
          <t>2024-07-09</t>
        </is>
      </c>
      <c r="G56" s="6" t="n">
        <v>15395.18</v>
      </c>
      <c r="H56" s="6" t="n">
        <v>0</v>
      </c>
      <c r="I56" s="6" t="n">
        <v>15395.18</v>
      </c>
      <c r="J56" s="6" t="n">
        <v>0</v>
      </c>
      <c r="K56" s="5" t="inlineStr">
        <is>
          <t>FULLY_SETTLED</t>
        </is>
      </c>
      <c r="L56" s="6" t="n">
        <v>5</v>
      </c>
    </row>
    <row r="57" ht="20" customHeight="1">
      <c r="A57" s="5" t="inlineStr">
        <is>
          <t>2024-04</t>
        </is>
      </c>
      <c r="B57" s="6" t="n">
        <v>2024</v>
      </c>
      <c r="C57" s="5" t="inlineStr">
        <is>
          <t>April</t>
        </is>
      </c>
      <c r="D57" s="6" t="n">
        <v>12634.86</v>
      </c>
      <c r="E57" s="5" t="inlineStr">
        <is>
          <t>00033810</t>
        </is>
      </c>
      <c r="F57" s="5" t="inlineStr">
        <is>
          <t>2024-09-30</t>
        </is>
      </c>
      <c r="G57" s="6" t="n">
        <v>20232.18</v>
      </c>
      <c r="H57" s="6" t="n">
        <v>-7597.32</v>
      </c>
      <c r="I57" s="6" t="n">
        <v>12634.86</v>
      </c>
      <c r="J57" s="6" t="n">
        <v>0</v>
      </c>
      <c r="K57" s="5" t="inlineStr">
        <is>
          <t>FULLY_SETTLED</t>
        </is>
      </c>
      <c r="L57" s="6" t="n">
        <v>4</v>
      </c>
    </row>
    <row r="58" ht="20" customHeight="1">
      <c r="A58" s="5" t="inlineStr">
        <is>
          <t>2024-05</t>
        </is>
      </c>
      <c r="B58" s="6" t="n">
        <v>2024</v>
      </c>
      <c r="C58" s="5" t="inlineStr">
        <is>
          <t>May</t>
        </is>
      </c>
      <c r="D58" s="6" t="n">
        <v>18256.94</v>
      </c>
      <c r="E58" s="5" t="inlineStr">
        <is>
          <t>00031179</t>
        </is>
      </c>
      <c r="F58" s="5" t="inlineStr">
        <is>
          <t>2024-06-10</t>
        </is>
      </c>
      <c r="G58" s="6" t="n">
        <v>13862.03</v>
      </c>
      <c r="H58" s="6" t="n">
        <v>4394.91</v>
      </c>
      <c r="I58" s="6" t="n">
        <v>13862.03</v>
      </c>
      <c r="J58" s="6" t="n">
        <v>4394.91</v>
      </c>
      <c r="K58" s="5" t="inlineStr">
        <is>
          <t>PARTIALLY_SETTLED</t>
        </is>
      </c>
      <c r="L58" s="6" t="n">
        <v>6</v>
      </c>
    </row>
    <row r="59" ht="20" customHeight="1">
      <c r="A59" s="5" t="inlineStr">
        <is>
          <t>2024-06</t>
        </is>
      </c>
      <c r="B59" s="6" t="n">
        <v>2024</v>
      </c>
      <c r="C59" s="5" t="inlineStr">
        <is>
          <t>June</t>
        </is>
      </c>
      <c r="D59" s="6" t="n">
        <v>15232.18</v>
      </c>
      <c r="E59" s="5" t="inlineStr">
        <is>
          <t>00034425</t>
        </is>
      </c>
      <c r="F59" s="5" t="inlineStr">
        <is>
          <t>2024-10-28</t>
        </is>
      </c>
      <c r="G59" s="6" t="n">
        <v>20443</v>
      </c>
      <c r="H59" s="6" t="n">
        <v>-5210.82</v>
      </c>
      <c r="I59" s="6" t="n">
        <v>15232.18</v>
      </c>
      <c r="J59" s="6" t="n">
        <v>0</v>
      </c>
      <c r="K59" s="5" t="inlineStr">
        <is>
          <t>FULLY_SETTLED</t>
        </is>
      </c>
      <c r="L59" s="6" t="n">
        <v>4</v>
      </c>
    </row>
    <row r="60" ht="20" customHeight="1">
      <c r="A60" s="5" t="inlineStr">
        <is>
          <t>2024-07</t>
        </is>
      </c>
      <c r="B60" s="6" t="n">
        <v>2024</v>
      </c>
      <c r="C60" s="5" t="inlineStr">
        <is>
          <t>July</t>
        </is>
      </c>
      <c r="D60" s="6" t="n">
        <v>15443</v>
      </c>
      <c r="E60" s="5" t="inlineStr">
        <is>
          <t>00036139</t>
        </is>
      </c>
      <c r="F60" s="5" t="inlineStr">
        <is>
          <t>2025-01-17</t>
        </is>
      </c>
      <c r="G60" s="6" t="n">
        <v>22336.89</v>
      </c>
      <c r="H60" s="6" t="n">
        <v>-6893.89</v>
      </c>
      <c r="I60" s="6" t="n">
        <v>15443</v>
      </c>
      <c r="J60" s="6" t="n">
        <v>0</v>
      </c>
      <c r="K60" s="5" t="inlineStr">
        <is>
          <t>FULLY_SETTLED</t>
        </is>
      </c>
      <c r="L60" s="6" t="n">
        <v>5</v>
      </c>
    </row>
    <row r="61" ht="20" customHeight="1">
      <c r="A61" s="5" t="inlineStr">
        <is>
          <t>2024-08</t>
        </is>
      </c>
      <c r="B61" s="6" t="n">
        <v>2024</v>
      </c>
      <c r="C61" s="5" t="inlineStr">
        <is>
          <t>August</t>
        </is>
      </c>
      <c r="D61" s="6" t="n">
        <v>15184.18</v>
      </c>
      <c r="E61" s="5" t="inlineStr">
        <is>
          <t>00036988</t>
        </is>
      </c>
      <c r="F61" s="5" t="inlineStr">
        <is>
          <t>2025-02-21</t>
        </is>
      </c>
      <c r="G61" s="6" t="n">
        <v>19550.42</v>
      </c>
      <c r="H61" s="6" t="n">
        <v>-4366.24</v>
      </c>
      <c r="I61" s="6" t="n">
        <v>15184.18</v>
      </c>
      <c r="J61" s="6" t="n">
        <v>-0</v>
      </c>
      <c r="K61" s="5" t="inlineStr">
        <is>
          <t>FULLY_SETTLED</t>
        </is>
      </c>
      <c r="L61" s="6" t="n">
        <v>5</v>
      </c>
    </row>
    <row r="62" ht="20" customHeight="1">
      <c r="A62" s="5" t="inlineStr">
        <is>
          <t>2024-09</t>
        </is>
      </c>
      <c r="B62" s="6" t="n">
        <v>2024</v>
      </c>
      <c r="C62" s="5" t="inlineStr">
        <is>
          <t>September</t>
        </is>
      </c>
      <c r="D62" s="6" t="n">
        <v>15336.89</v>
      </c>
      <c r="E62" s="5" t="inlineStr">
        <is>
          <t>—</t>
        </is>
      </c>
      <c r="F62" s="5" t="inlineStr">
        <is>
          <t>—</t>
        </is>
      </c>
      <c r="G62" s="5" t="inlineStr">
        <is>
          <t>—</t>
        </is>
      </c>
      <c r="H62" s="5" t="inlineStr">
        <is>
          <t>—</t>
        </is>
      </c>
      <c r="I62" s="6" t="n">
        <v>0</v>
      </c>
      <c r="J62" s="6" t="n">
        <v>15336.89</v>
      </c>
      <c r="K62" s="5" t="inlineStr">
        <is>
          <t>UNPAID</t>
        </is>
      </c>
      <c r="L62" s="6" t="n">
        <v>5</v>
      </c>
    </row>
    <row r="63" ht="20" customHeight="1">
      <c r="A63" s="5" t="inlineStr">
        <is>
          <t>2024-10</t>
        </is>
      </c>
      <c r="B63" s="6" t="n">
        <v>2024</v>
      </c>
      <c r="C63" s="5" t="inlineStr">
        <is>
          <t>October</t>
        </is>
      </c>
      <c r="D63" s="6" t="n">
        <v>14025.58</v>
      </c>
      <c r="E63" s="5" t="inlineStr">
        <is>
          <t>—</t>
        </is>
      </c>
      <c r="F63" s="5" t="inlineStr">
        <is>
          <t>—</t>
        </is>
      </c>
      <c r="G63" s="5" t="inlineStr">
        <is>
          <t>—</t>
        </is>
      </c>
      <c r="H63" s="5" t="inlineStr">
        <is>
          <t>—</t>
        </is>
      </c>
      <c r="I63" s="6" t="n">
        <v>0</v>
      </c>
      <c r="J63" s="6" t="n">
        <v>14025.58</v>
      </c>
      <c r="K63" s="5" t="inlineStr">
        <is>
          <t>UNPAID</t>
        </is>
      </c>
      <c r="L63" s="6" t="n">
        <v>7</v>
      </c>
    </row>
    <row r="64" ht="20" customHeight="1">
      <c r="A64" s="5" t="inlineStr">
        <is>
          <t>2024-11</t>
        </is>
      </c>
      <c r="B64" s="6" t="n">
        <v>2024</v>
      </c>
      <c r="C64" s="5" t="inlineStr">
        <is>
          <t>November</t>
        </is>
      </c>
      <c r="D64" s="6" t="n">
        <v>12524.85</v>
      </c>
      <c r="E64" s="5" t="inlineStr">
        <is>
          <t>—</t>
        </is>
      </c>
      <c r="F64" s="5" t="inlineStr">
        <is>
          <t>—</t>
        </is>
      </c>
      <c r="G64" s="5" t="inlineStr">
        <is>
          <t>—</t>
        </is>
      </c>
      <c r="H64" s="5" t="inlineStr">
        <is>
          <t>—</t>
        </is>
      </c>
      <c r="I64" s="6" t="n">
        <v>0</v>
      </c>
      <c r="J64" s="6" t="n">
        <v>12524.85</v>
      </c>
      <c r="K64" s="5" t="inlineStr">
        <is>
          <t>UNPAID</t>
        </is>
      </c>
      <c r="L64" s="6" t="n">
        <v>4</v>
      </c>
    </row>
    <row r="65" ht="20" customHeight="1">
      <c r="A65" s="5" t="inlineStr">
        <is>
          <t>2024-12</t>
        </is>
      </c>
      <c r="B65" s="6" t="n">
        <v>2024</v>
      </c>
      <c r="C65" s="5" t="inlineStr">
        <is>
          <t>December</t>
        </is>
      </c>
      <c r="D65" s="6" t="n">
        <v>15816.63</v>
      </c>
      <c r="E65" s="5" t="inlineStr">
        <is>
          <t>00038481</t>
        </is>
      </c>
      <c r="F65" s="5" t="inlineStr">
        <is>
          <t>2025-05-05</t>
        </is>
      </c>
      <c r="G65" s="6" t="n">
        <v>15816.63</v>
      </c>
      <c r="H65" s="6" t="n">
        <v>0</v>
      </c>
      <c r="I65" s="6" t="n">
        <v>15816.63</v>
      </c>
      <c r="J65" s="6" t="n">
        <v>0</v>
      </c>
      <c r="K65" s="5" t="inlineStr">
        <is>
          <t>FULLY_SETTLED</t>
        </is>
      </c>
      <c r="L65" s="6" t="n">
        <v>4</v>
      </c>
    </row>
    <row r="66" ht="20" customHeight="1">
      <c r="A66" s="5" t="inlineStr">
        <is>
          <t>2025-01</t>
        </is>
      </c>
      <c r="B66" s="6" t="n">
        <v>2025</v>
      </c>
      <c r="C66" s="5" t="inlineStr">
        <is>
          <t>January</t>
        </is>
      </c>
      <c r="D66" s="6" t="n">
        <v>17574.84</v>
      </c>
      <c r="E66" s="5" t="inlineStr">
        <is>
          <t>00038846,00039812</t>
        </is>
      </c>
      <c r="F66" s="5" t="inlineStr">
        <is>
          <t>2025-05-22,2025-06-12</t>
        </is>
      </c>
      <c r="G66" s="6" t="n">
        <v>17574.84</v>
      </c>
      <c r="H66" s="6" t="n">
        <v>0</v>
      </c>
      <c r="I66" s="6" t="n">
        <v>17574.84</v>
      </c>
      <c r="J66" s="6" t="n">
        <v>0</v>
      </c>
      <c r="K66" s="5" t="inlineStr">
        <is>
          <t>FULLY_SETTLED</t>
        </is>
      </c>
      <c r="L66" s="6" t="n">
        <v>5</v>
      </c>
    </row>
    <row r="67" ht="20" customHeight="1">
      <c r="A67" s="5" t="inlineStr">
        <is>
          <t>2025-02</t>
        </is>
      </c>
      <c r="B67" s="6" t="n">
        <v>2025</v>
      </c>
      <c r="C67" s="5" t="inlineStr">
        <is>
          <t>February</t>
        </is>
      </c>
      <c r="D67" s="6" t="n">
        <v>10320.82</v>
      </c>
      <c r="E67" s="5" t="inlineStr">
        <is>
          <t>00039812</t>
        </is>
      </c>
      <c r="F67" s="5" t="inlineStr">
        <is>
          <t>2025-06-12</t>
        </is>
      </c>
      <c r="G67" s="6" t="n">
        <v>10320.82</v>
      </c>
      <c r="H67" s="6" t="n">
        <v>0</v>
      </c>
      <c r="I67" s="6" t="n">
        <v>10320.82</v>
      </c>
      <c r="J67" s="6" t="n">
        <v>0</v>
      </c>
      <c r="K67" s="5" t="inlineStr">
        <is>
          <t>FULLY_SETTLED</t>
        </is>
      </c>
      <c r="L67" s="6" t="n">
        <v>3</v>
      </c>
    </row>
    <row r="68" ht="20" customHeight="1">
      <c r="A68" s="5" t="inlineStr">
        <is>
          <t>2025-03</t>
        </is>
      </c>
      <c r="B68" s="6" t="n">
        <v>2025</v>
      </c>
      <c r="C68" s="5" t="inlineStr">
        <is>
          <t>March</t>
        </is>
      </c>
      <c r="D68" s="6" t="n">
        <v>11795.24</v>
      </c>
      <c r="E68" s="5" t="inlineStr">
        <is>
          <t>00040063</t>
        </is>
      </c>
      <c r="F68" s="5" t="inlineStr">
        <is>
          <t>2025-07-14</t>
        </is>
      </c>
      <c r="G68" s="6" t="n">
        <v>11795.24</v>
      </c>
      <c r="H68" s="6" t="n">
        <v>0</v>
      </c>
      <c r="I68" s="6" t="n">
        <v>11795.24</v>
      </c>
      <c r="J68" s="6" t="n">
        <v>0</v>
      </c>
      <c r="K68" s="5" t="inlineStr">
        <is>
          <t>FULLY_SETTLED</t>
        </is>
      </c>
      <c r="L68" s="6" t="n">
        <v>4</v>
      </c>
    </row>
    <row r="69" ht="20" customHeight="1">
      <c r="A69" s="5" t="inlineStr">
        <is>
          <t>2025-04</t>
        </is>
      </c>
      <c r="B69" s="6" t="n">
        <v>2025</v>
      </c>
      <c r="C69" s="5" t="inlineStr">
        <is>
          <t>April</t>
        </is>
      </c>
      <c r="D69" s="6" t="n">
        <v>21724.53</v>
      </c>
      <c r="E69" s="5" t="inlineStr">
        <is>
          <t>—</t>
        </is>
      </c>
      <c r="F69" s="5" t="inlineStr">
        <is>
          <t>—</t>
        </is>
      </c>
      <c r="G69" s="5" t="inlineStr">
        <is>
          <t>—</t>
        </is>
      </c>
      <c r="H69" s="5" t="inlineStr">
        <is>
          <t>—</t>
        </is>
      </c>
      <c r="I69" s="6" t="n">
        <v>0</v>
      </c>
      <c r="J69" s="6" t="n">
        <v>21724.53</v>
      </c>
      <c r="K69" s="5" t="inlineStr">
        <is>
          <t>UNPAID</t>
        </is>
      </c>
      <c r="L69" s="6" t="n">
        <v>5</v>
      </c>
    </row>
    <row r="70" ht="20" customHeight="1">
      <c r="A70" s="5" t="inlineStr">
        <is>
          <t>2025-05</t>
        </is>
      </c>
      <c r="B70" s="6" t="n">
        <v>2025</v>
      </c>
      <c r="C70" s="5" t="inlineStr">
        <is>
          <t>May</t>
        </is>
      </c>
      <c r="D70" s="6" t="n">
        <v>13342.37</v>
      </c>
      <c r="E70" s="5" t="inlineStr">
        <is>
          <t>—</t>
        </is>
      </c>
      <c r="F70" s="5" t="inlineStr">
        <is>
          <t>—</t>
        </is>
      </c>
      <c r="G70" s="5" t="inlineStr">
        <is>
          <t>—</t>
        </is>
      </c>
      <c r="H70" s="5" t="inlineStr">
        <is>
          <t>—</t>
        </is>
      </c>
      <c r="I70" s="6" t="n">
        <v>0</v>
      </c>
      <c r="J70" s="6" t="n">
        <v>13342.37</v>
      </c>
      <c r="K70" s="5" t="inlineStr">
        <is>
          <t>UNPAID</t>
        </is>
      </c>
      <c r="L70" s="6" t="n">
        <v>6</v>
      </c>
    </row>
    <row r="71" ht="20" customHeight="1">
      <c r="A71" s="5" t="inlineStr">
        <is>
          <t>2025-06</t>
        </is>
      </c>
      <c r="B71" s="6" t="n">
        <v>2025</v>
      </c>
      <c r="C71" s="5" t="inlineStr">
        <is>
          <t>June</t>
        </is>
      </c>
      <c r="D71" s="6" t="n">
        <v>14618.11</v>
      </c>
      <c r="E71" s="5" t="inlineStr">
        <is>
          <t>—</t>
        </is>
      </c>
      <c r="F71" s="5" t="inlineStr">
        <is>
          <t>—</t>
        </is>
      </c>
      <c r="G71" s="5" t="inlineStr">
        <is>
          <t>—</t>
        </is>
      </c>
      <c r="H71" s="5" t="inlineStr">
        <is>
          <t>—</t>
        </is>
      </c>
      <c r="I71" s="6" t="n">
        <v>0</v>
      </c>
      <c r="J71" s="6" t="n">
        <v>14618.11</v>
      </c>
      <c r="K71" s="5" t="inlineStr">
        <is>
          <t>UNPAID</t>
        </is>
      </c>
      <c r="L71" s="6" t="n">
        <v>6</v>
      </c>
    </row>
    <row r="72" ht="20" customHeight="1">
      <c r="A72" s="5" t="inlineStr">
        <is>
          <t>2025-07</t>
        </is>
      </c>
      <c r="B72" s="6" t="n">
        <v>2025</v>
      </c>
      <c r="C72" s="5" t="inlineStr">
        <is>
          <t>July</t>
        </is>
      </c>
      <c r="D72" s="6" t="n">
        <v>14579.44</v>
      </c>
      <c r="E72" s="5" t="inlineStr">
        <is>
          <t>00040746</t>
        </is>
      </c>
      <c r="F72" s="5" t="inlineStr">
        <is>
          <t>2025-08-22</t>
        </is>
      </c>
      <c r="G72" s="6" t="n">
        <v>14579.44</v>
      </c>
      <c r="H72" s="6" t="n">
        <v>0</v>
      </c>
      <c r="I72" s="6" t="n">
        <v>14579.44</v>
      </c>
      <c r="J72" s="6" t="n">
        <v>0</v>
      </c>
      <c r="K72" s="5" t="inlineStr">
        <is>
          <t>FULLY_SETTLED</t>
        </is>
      </c>
      <c r="L72" s="6" t="n">
        <v>5</v>
      </c>
    </row>
    <row r="73" ht="20" customHeight="1">
      <c r="A73" s="5" t="inlineStr">
        <is>
          <t>2025-08</t>
        </is>
      </c>
      <c r="B73" s="6" t="n">
        <v>2025</v>
      </c>
      <c r="C73" s="5" t="inlineStr">
        <is>
          <t>August</t>
        </is>
      </c>
      <c r="D73" s="6" t="n">
        <v>16601.82</v>
      </c>
      <c r="E73" s="5" t="inlineStr">
        <is>
          <t>00041664</t>
        </is>
      </c>
      <c r="F73" s="5" t="inlineStr">
        <is>
          <t>2025-10-14</t>
        </is>
      </c>
      <c r="G73" s="6" t="n">
        <v>16601.81</v>
      </c>
      <c r="H73" s="6" t="n">
        <v>0.01</v>
      </c>
      <c r="I73" s="6" t="n">
        <v>16601.81</v>
      </c>
      <c r="J73" s="6" t="n">
        <v>0.01</v>
      </c>
      <c r="K73" s="5" t="inlineStr">
        <is>
          <t>FULLY_SETTLED</t>
        </is>
      </c>
      <c r="L73" s="6" t="n">
        <v>5</v>
      </c>
    </row>
    <row r="74" ht="20" customHeight="1">
      <c r="A74" s="5" t="inlineStr">
        <is>
          <t>2025-09</t>
        </is>
      </c>
      <c r="B74" s="6" t="n">
        <v>2025</v>
      </c>
      <c r="C74" s="5" t="inlineStr">
        <is>
          <t>September</t>
        </is>
      </c>
      <c r="D74" s="6" t="n">
        <v>13327.87</v>
      </c>
      <c r="E74" s="5" t="inlineStr">
        <is>
          <t>00042134</t>
        </is>
      </c>
      <c r="F74" s="5" t="inlineStr">
        <is>
          <t>2025-11-06</t>
        </is>
      </c>
      <c r="G74" s="6" t="n">
        <v>13327.87</v>
      </c>
      <c r="H74" s="6" t="n">
        <v>0</v>
      </c>
      <c r="I74" s="6" t="n">
        <v>13327.87</v>
      </c>
      <c r="J74" s="6" t="n">
        <v>0</v>
      </c>
      <c r="K74" s="5" t="inlineStr">
        <is>
          <t>FULLY_SETTLED</t>
        </is>
      </c>
      <c r="L74" s="6" t="n">
        <v>4</v>
      </c>
    </row>
    <row r="75" ht="20" customHeight="1">
      <c r="A75" s="5" t="inlineStr">
        <is>
          <t>2025-10</t>
        </is>
      </c>
      <c r="B75" s="6" t="n">
        <v>2025</v>
      </c>
      <c r="C75" s="5" t="inlineStr">
        <is>
          <t>October</t>
        </is>
      </c>
      <c r="D75" s="6" t="n">
        <v>13161.86</v>
      </c>
      <c r="E75" s="5" t="inlineStr">
        <is>
          <t>00042788</t>
        </is>
      </c>
      <c r="F75" s="5" t="inlineStr">
        <is>
          <t>2025-12-29</t>
        </is>
      </c>
      <c r="G75" s="6" t="n">
        <v>13161.86</v>
      </c>
      <c r="H75" s="6" t="n">
        <v>0</v>
      </c>
      <c r="I75" s="6" t="n">
        <v>13161.86</v>
      </c>
      <c r="J75" s="6" t="n">
        <v>0</v>
      </c>
      <c r="K75" s="5" t="inlineStr">
        <is>
          <t>FULLY_SETTLED</t>
        </is>
      </c>
      <c r="L75" s="6" t="n">
        <v>4</v>
      </c>
    </row>
    <row r="76" ht="20" customHeight="1">
      <c r="A76" s="5" t="inlineStr">
        <is>
          <t>2025-11</t>
        </is>
      </c>
      <c r="B76" s="6" t="n">
        <v>2025</v>
      </c>
      <c r="C76" s="5" t="inlineStr">
        <is>
          <t>November</t>
        </is>
      </c>
      <c r="D76" s="6" t="n">
        <v>15578.23</v>
      </c>
      <c r="E76" s="5" t="inlineStr">
        <is>
          <t>00043199</t>
        </is>
      </c>
      <c r="F76" s="5" t="inlineStr">
        <is>
          <t>2026-02-05</t>
        </is>
      </c>
      <c r="G76" s="6" t="n">
        <v>15578.23</v>
      </c>
      <c r="H76" s="6" t="n">
        <v>0</v>
      </c>
      <c r="I76" s="6" t="n">
        <v>15578.23</v>
      </c>
      <c r="J76" s="6" t="n">
        <v>0</v>
      </c>
      <c r="K76" s="5" t="inlineStr">
        <is>
          <t>FULLY_SETTLED</t>
        </is>
      </c>
      <c r="L76" s="6" t="n">
        <v>5</v>
      </c>
    </row>
    <row r="77" ht="20" customHeight="1">
      <c r="A77" s="5" t="inlineStr">
        <is>
          <t>2025-12</t>
        </is>
      </c>
      <c r="B77" s="6" t="n">
        <v>2025</v>
      </c>
      <c r="C77" s="5" t="inlineStr">
        <is>
          <t>December</t>
        </is>
      </c>
      <c r="D77" s="6" t="n">
        <v>11666.11</v>
      </c>
      <c r="E77" s="5" t="inlineStr">
        <is>
          <t>—</t>
        </is>
      </c>
      <c r="F77" s="5" t="inlineStr">
        <is>
          <t>—</t>
        </is>
      </c>
      <c r="G77" s="5" t="inlineStr">
        <is>
          <t>—</t>
        </is>
      </c>
      <c r="H77" s="5" t="inlineStr">
        <is>
          <t>—</t>
        </is>
      </c>
      <c r="I77" s="6" t="n">
        <v>0</v>
      </c>
      <c r="J77" s="6" t="n">
        <v>11666.11</v>
      </c>
      <c r="K77" s="5" t="inlineStr">
        <is>
          <t>UNPAID</t>
        </is>
      </c>
      <c r="L77" s="6" t="n">
        <v>6</v>
      </c>
    </row>
    <row r="78" ht="20" customHeight="1">
      <c r="A78" s="5" t="inlineStr">
        <is>
          <t>2026-01</t>
        </is>
      </c>
      <c r="B78" s="6" t="n">
        <v>2026</v>
      </c>
      <c r="C78" s="5" t="inlineStr">
        <is>
          <t>January</t>
        </is>
      </c>
      <c r="D78" s="6" t="n">
        <v>14323.09</v>
      </c>
      <c r="E78" s="5" t="inlineStr">
        <is>
          <t>—</t>
        </is>
      </c>
      <c r="F78" s="5" t="inlineStr">
        <is>
          <t>—</t>
        </is>
      </c>
      <c r="G78" s="5" t="inlineStr">
        <is>
          <t>—</t>
        </is>
      </c>
      <c r="H78" s="5" t="inlineStr">
        <is>
          <t>—</t>
        </is>
      </c>
      <c r="I78" s="6" t="n">
        <v>0</v>
      </c>
      <c r="J78" s="6" t="n">
        <v>14323.09</v>
      </c>
      <c r="K78" s="5" t="inlineStr">
        <is>
          <t>UNPAID</t>
        </is>
      </c>
      <c r="L78" s="6" t="n">
        <v>6</v>
      </c>
    </row>
    <row r="79" ht="20" customHeight="1">
      <c r="A79" s="5" t="inlineStr">
        <is>
          <t>2026-02</t>
        </is>
      </c>
      <c r="B79" s="6" t="n">
        <v>2026</v>
      </c>
      <c r="C79" s="5" t="inlineStr">
        <is>
          <t>February</t>
        </is>
      </c>
      <c r="D79" s="6" t="n">
        <v>10559.95</v>
      </c>
      <c r="E79" s="5" t="inlineStr">
        <is>
          <t>—</t>
        </is>
      </c>
      <c r="F79" s="5" t="inlineStr">
        <is>
          <t>—</t>
        </is>
      </c>
      <c r="G79" s="5" t="inlineStr">
        <is>
          <t>—</t>
        </is>
      </c>
      <c r="H79" s="5" t="inlineStr">
        <is>
          <t>—</t>
        </is>
      </c>
      <c r="I79" s="6" t="n">
        <v>0</v>
      </c>
      <c r="J79" s="6" t="n">
        <v>10559.95</v>
      </c>
      <c r="K79" s="5" t="inlineStr">
        <is>
          <t>UNPAID</t>
        </is>
      </c>
      <c r="L79" s="6" t="n">
        <v>3</v>
      </c>
    </row>
    <row r="80" ht="20" customHeight="1">
      <c r="A80" s="5" t="inlineStr">
        <is>
          <t>2026-03</t>
        </is>
      </c>
      <c r="B80" s="6" t="n">
        <v>2026</v>
      </c>
      <c r="C80" s="5" t="inlineStr">
        <is>
          <t>March</t>
        </is>
      </c>
      <c r="D80" s="6" t="n">
        <v>11937.56</v>
      </c>
      <c r="E80" s="5" t="inlineStr">
        <is>
          <t>00044555</t>
        </is>
      </c>
      <c r="F80" s="5" t="inlineStr">
        <is>
          <t>2026-06-05</t>
        </is>
      </c>
      <c r="G80" s="6" t="n">
        <v>11666.12</v>
      </c>
      <c r="H80" s="6" t="n">
        <v>271.44</v>
      </c>
      <c r="I80" s="6" t="n">
        <v>11666.12</v>
      </c>
      <c r="J80" s="6" t="n">
        <v>271.44</v>
      </c>
      <c r="K80" s="5" t="inlineStr">
        <is>
          <t>PARTIALLY_SETTLED</t>
        </is>
      </c>
      <c r="L80" s="6" t="n">
        <v>5</v>
      </c>
    </row>
    <row r="81" ht="20" customHeight="1">
      <c r="A81" s="5" t="inlineStr">
        <is>
          <t>2026-04</t>
        </is>
      </c>
      <c r="B81" s="6" t="n">
        <v>2026</v>
      </c>
      <c r="C81" s="5" t="inlineStr">
        <is>
          <t>April</t>
        </is>
      </c>
      <c r="D81" s="6" t="n">
        <v>14303.99</v>
      </c>
      <c r="E81" s="5" t="inlineStr">
        <is>
          <t>—</t>
        </is>
      </c>
      <c r="F81" s="5" t="inlineStr">
        <is>
          <t>—</t>
        </is>
      </c>
      <c r="G81" s="5" t="inlineStr">
        <is>
          <t>—</t>
        </is>
      </c>
      <c r="H81" s="5" t="inlineStr">
        <is>
          <t>—</t>
        </is>
      </c>
      <c r="I81" s="6" t="n">
        <v>0</v>
      </c>
      <c r="J81" s="6" t="n">
        <v>14303.99</v>
      </c>
      <c r="K81" s="5" t="inlineStr">
        <is>
          <t>UNPAID</t>
        </is>
      </c>
      <c r="L81" s="6" t="n">
        <v>4</v>
      </c>
    </row>
    <row r="82" ht="20" customHeight="1">
      <c r="A82" s="5" t="inlineStr">
        <is>
          <t>2026-05</t>
        </is>
      </c>
      <c r="B82" s="6" t="n">
        <v>2026</v>
      </c>
      <c r="C82" s="5" t="inlineStr">
        <is>
          <t>May</t>
        </is>
      </c>
      <c r="D82" s="6" t="n">
        <v>21274.86</v>
      </c>
      <c r="E82" s="5" t="inlineStr">
        <is>
          <t>—</t>
        </is>
      </c>
      <c r="F82" s="5" t="inlineStr">
        <is>
          <t>—</t>
        </is>
      </c>
      <c r="G82" s="5" t="inlineStr">
        <is>
          <t>—</t>
        </is>
      </c>
      <c r="H82" s="5" t="inlineStr">
        <is>
          <t>—</t>
        </is>
      </c>
      <c r="I82" s="6" t="n">
        <v>0</v>
      </c>
      <c r="J82" s="6" t="n">
        <v>21274.86</v>
      </c>
      <c r="K82" s="5" t="inlineStr">
        <is>
          <t>UNPAID</t>
        </is>
      </c>
      <c r="L82" s="6" t="n">
        <v>5</v>
      </c>
    </row>
    <row r="83" ht="20" customHeight="1">
      <c r="A83" s="5" t="inlineStr">
        <is>
          <t>TOTAL</t>
        </is>
      </c>
      <c r="B83" s="5" t="inlineStr"/>
      <c r="C83" s="5" t="inlineStr"/>
      <c r="D83" s="6" t="n">
        <v>1102643.55</v>
      </c>
      <c r="E83" s="5" t="inlineStr"/>
      <c r="F83" s="5" t="inlineStr"/>
      <c r="G83" s="5" t="inlineStr"/>
      <c r="H83" s="6" t="n">
        <v>-35900.39</v>
      </c>
      <c r="I83" s="6" t="n">
        <v>864269.78</v>
      </c>
      <c r="J83" s="6" t="n">
        <v>245257.52</v>
      </c>
      <c r="K83" s="5" t="inlineStr"/>
      <c r="L83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14" customWidth="1" min="4" max="4"/>
    <col width="42" customWidth="1" min="5" max="5"/>
    <col width="10" customWidth="1" min="6" max="6"/>
    <col width="10" customWidth="1" min="7" max="7"/>
    <col width="10" customWidth="1" min="8" max="8"/>
  </cols>
  <sheetData>
    <row r="1">
      <c r="A1" s="14" t="inlineStr">
        <is>
          <t>Jim Gas (JIM001) — Raw ERP Ledger Findings</t>
        </is>
      </c>
    </row>
    <row r="2" ht="28" customHeight="1">
      <c r="A2" s="15" t="inlineStr">
        <is>
          <t>Source: raw/DEBENQ_CURRENT.TXT (DEBENQ enquiry pull, "YEAR: CURRENT") -- user-supplied 2026-09-14. Genuine ERP system-of-record export: 272 transaction rows, internally perfect running balance, closing balance matches its own header's stated CURRENT BALANCE exactly.</t>
        </is>
      </c>
    </row>
    <row r="4">
      <c r="A4" s="16" t="inlineStr">
        <is>
          <t>1. Doc 40746 — PROVEN: settles July 2025, not June</t>
        </is>
      </c>
    </row>
    <row r="5">
      <c r="A5" s="17" t="inlineStr">
        <is>
          <t>Invoice tagged</t>
        </is>
      </c>
      <c r="B5" s="17" t="inlineStr">
        <is>
          <t>Date</t>
        </is>
      </c>
      <c r="C5" s="17" t="inlineStr">
        <is>
          <t>Amount</t>
        </is>
      </c>
      <c r="D5" s="17" t="inlineStr">
        <is>
          <t>Actual month</t>
        </is>
      </c>
      <c r="E5" s="17" t="inlineStr">
        <is>
          <t>What it is</t>
        </is>
      </c>
    </row>
    <row r="6">
      <c r="A6" s="18" t="inlineStr">
        <is>
          <t>43628</t>
        </is>
      </c>
      <c r="B6" s="19" t="n">
        <v>45813</v>
      </c>
      <c r="C6" s="20" t="n">
        <v>-262.54</v>
      </c>
      <c r="D6" s="18" t="inlineStr">
        <is>
          <t>June</t>
        </is>
      </c>
      <c r="E6" s="18" t="inlineStr">
        <is>
          <t>Boundary cleanup (tail of prior cycle)</t>
        </is>
      </c>
    </row>
    <row r="7">
      <c r="A7" s="18" t="inlineStr">
        <is>
          <t>44516</t>
        </is>
      </c>
      <c r="B7" s="19" t="n">
        <v>45842</v>
      </c>
      <c r="C7" s="20" t="n">
        <v>-3115.05</v>
      </c>
      <c r="D7" s="21" t="inlineStr">
        <is>
          <t>July</t>
        </is>
      </c>
      <c r="E7" s="18" t="inlineStr">
        <is>
          <t>Full invoice</t>
        </is>
      </c>
    </row>
    <row r="8">
      <c r="A8" s="18" t="inlineStr">
        <is>
          <t>44707</t>
        </is>
      </c>
      <c r="B8" s="19" t="n">
        <v>45848</v>
      </c>
      <c r="C8" s="20" t="n">
        <v>-4200.69</v>
      </c>
      <c r="D8" s="21" t="inlineStr">
        <is>
          <t>July</t>
        </is>
      </c>
      <c r="E8" s="18" t="inlineStr">
        <is>
          <t>Full invoice</t>
        </is>
      </c>
    </row>
    <row r="9">
      <c r="A9" s="18" t="inlineStr">
        <is>
          <t>44933</t>
        </is>
      </c>
      <c r="B9" s="19" t="n">
        <v>45856</v>
      </c>
      <c r="C9" s="20" t="n">
        <v>-4200.69</v>
      </c>
      <c r="D9" s="21" t="inlineStr">
        <is>
          <t>July</t>
        </is>
      </c>
      <c r="E9" s="18" t="inlineStr">
        <is>
          <t>Full invoice</t>
        </is>
      </c>
    </row>
    <row r="10">
      <c r="A10" s="18" t="inlineStr">
        <is>
          <t>45091</t>
        </is>
      </c>
      <c r="B10" s="19" t="n">
        <v>45862</v>
      </c>
      <c r="C10" s="20" t="n">
        <v>-2800.46</v>
      </c>
      <c r="D10" s="21" t="inlineStr">
        <is>
          <t>July</t>
        </is>
      </c>
      <c r="E10" s="18" t="inlineStr">
        <is>
          <t>Full invoice</t>
        </is>
      </c>
    </row>
    <row r="11">
      <c r="A11" s="18" t="inlineStr">
        <is>
          <t>45323</t>
        </is>
      </c>
      <c r="B11" s="19" t="n">
        <v>45870</v>
      </c>
      <c r="C11" s="20" t="n">
        <v>-0.01</v>
      </c>
      <c r="D11" s="18" t="inlineStr">
        <is>
          <t>August</t>
        </is>
      </c>
      <c r="E11" s="18" t="inlineStr">
        <is>
          <t>Rounding cleanup (head of next cycle)</t>
        </is>
      </c>
    </row>
    <row r="12">
      <c r="A12" s="22" t="inlineStr">
        <is>
          <t>TOTAL (= payment 40746's full gross)</t>
        </is>
      </c>
      <c r="C12" s="23">
        <f>SUM(C6:C11)</f>
        <v/>
      </c>
    </row>
    <row r="14">
      <c r="A14" s="18" t="inlineStr">
        <is>
          <t>July share of total (4 of 6 lines):</t>
        </is>
      </c>
      <c r="C14" s="20">
        <f>SUM(C7:C10)</f>
        <v/>
      </c>
    </row>
    <row r="15" ht="42" customHeight="1">
      <c r="A15" s="24" t="inlineStr">
        <is>
          <t>Conclusion: PROVEN — 98.2% of this payment's cash tags to 4 full July invoices by real invoice number. The allocation_edges.csv ERP_LEDGER/Probable split claiming June (AL-0337–AL-0340) does not correspond to anything in this real export. Tier 2 evidence (real ERP ledger; not Tier 1 remittance advice, but no longer a reconstruction).</t>
        </is>
      </c>
    </row>
    <row r="17">
      <c r="A17" s="16" t="inlineStr">
        <is>
          <t>2. Doc 44555 — UNRESOLVED: untagged in the real ERP</t>
        </is>
      </c>
    </row>
    <row r="18">
      <c r="A18" s="17" t="inlineStr">
        <is>
          <t>Invoice tagged</t>
        </is>
      </c>
      <c r="B18" s="17" t="inlineStr">
        <is>
          <t>Date</t>
        </is>
      </c>
      <c r="C18" s="17" t="inlineStr">
        <is>
          <t>Amount</t>
        </is>
      </c>
      <c r="D18" s="17" t="inlineStr">
        <is>
          <t>Actual month</t>
        </is>
      </c>
      <c r="E18" s="17" t="inlineStr">
        <is>
          <t>What it is</t>
        </is>
      </c>
    </row>
    <row r="19">
      <c r="A19" s="25" t="inlineStr">
        <is>
          <t>(blank)</t>
        </is>
      </c>
      <c r="B19" s="19" t="n">
        <v>46178</v>
      </c>
      <c r="C19" s="20" t="n">
        <v>-11666.12</v>
      </c>
      <c r="D19" s="25" t="inlineStr">
        <is>
          <t>UNTAGGED</t>
        </is>
      </c>
      <c r="E19" s="18" t="inlineStr">
        <is>
          <t>Raw ERP INVNO field is blank -- not allocated to any invoice in the real ERP</t>
        </is>
      </c>
    </row>
    <row r="21" ht="42" customHeight="1">
      <c r="A21" s="26" t="inlineStr">
        <is>
          <t>Conclusion: allocation_edges.csv's claimed split to 3 named March-2026 invoices (AL-0359–AL-0361) does NOT exist in the real ERP -- confirmed fictitious, not merely unconfirmed. The competing December-2025 aggregate-total-match reading is now the only one with any support, but it was never ERP-tagged either -- still ASSERTED, not PROVEN. Needs an actual remittance advice to settle.</t>
        </is>
      </c>
    </row>
    <row r="23">
      <c r="A23" s="16" t="inlineStr">
        <is>
          <t>3. Balance bridge against the real ERP header balance (2025-03-01 onward only)</t>
        </is>
      </c>
    </row>
    <row r="24" ht="28" customHeight="1">
      <c r="A24" s="15" t="inlineStr">
        <is>
          <t>Note: this raw export is complete (0 missing invoice docs vs invoices.csv) only from 2025-03-01 onward -- earlier periods are a "current activity" snapshot missing 420 of 620 invoice/CN docs (archived-out history, not a real gap). Do not extend this specific bridge before that date.</t>
        </is>
      </c>
    </row>
    <row r="26">
      <c r="A26" s="18" t="inlineStr">
        <is>
          <t>ERP balance immediately before window (2024-07-04)</t>
        </is>
      </c>
      <c r="C26" s="20" t="n">
        <v>45202.67</v>
      </c>
    </row>
    <row r="27">
      <c r="A27" s="18" t="inlineStr">
        <is>
          <t>ERP CURRENT BALANCE (2026-06-05, per file header)</t>
        </is>
      </c>
      <c r="C27" s="20" t="n">
        <v>122884.84</v>
      </c>
    </row>
    <row r="28">
      <c r="A28" s="22" t="inlineStr">
        <is>
          <t>Raw ERP net movement</t>
        </is>
      </c>
      <c r="C28" s="23">
        <f>C27-C26</f>
        <v/>
      </c>
    </row>
    <row r="30">
      <c r="A30" s="18" t="inlineStr">
        <is>
          <t>LPG net invoiced, 2025-03-01 onward (invoices.csv)</t>
        </is>
      </c>
      <c r="C30" s="20" t="n">
        <v>218795.03</v>
      </c>
    </row>
    <row r="31">
      <c r="A31" s="18" t="inlineStr">
        <is>
          <t>CYL net invoiced, 2025-03-01 onward</t>
        </is>
      </c>
      <c r="C31" s="20" t="n">
        <v>1725</v>
      </c>
    </row>
    <row r="32">
      <c r="A32" s="18" t="inlineStr">
        <is>
          <t>Cash paid, 2025-03-01 onward (payments.csv)</t>
        </is>
      </c>
      <c r="C32" s="20" t="n">
        <v>140422.86</v>
      </c>
    </row>
    <row r="33">
      <c r="A33" s="22" t="inlineStr">
        <is>
          <t>Computed net movement (LPG + CYL − cash)</t>
        </is>
      </c>
      <c r="C33" s="23">
        <f>C30+C31-C32</f>
        <v/>
      </c>
    </row>
    <row r="35">
      <c r="A35" s="22" t="inlineStr">
        <is>
          <t>Gap (computed − raw ERP movement)</t>
        </is>
      </c>
      <c r="C35" s="23">
        <f>C33-C28</f>
        <v/>
      </c>
    </row>
    <row r="36">
      <c r="A36" s="22" t="inlineStr">
        <is>
          <t>Tie-out %</t>
        </is>
      </c>
      <c r="C36" s="27">
        <f>1-ABS(C35)/C28</f>
        <v/>
      </c>
    </row>
    <row r="38" ht="55" customHeight="1">
      <c r="A38" s="15" t="inlineStr">
        <is>
          <t>R2,415.00 is itself a recognizable, round CYL-deposit unit (appears dozens of times throughout this export as a -EMPTY credit-note/invoice pair amount) -- consistent with a single boundary-date CYL line landing on one side of the 2025-03-01 cutoff in one dataset and the other side in the other, not a systemic problem. A ~97% tie-out on a R77,682 movement against the actual ERP header balance is strong independent confirmation that invoices.csv/payments.csv are sound for this window.</t>
        </is>
      </c>
    </row>
  </sheetData>
  <mergeCells count="5">
    <mergeCell ref="A21:H21"/>
    <mergeCell ref="A15:H15"/>
    <mergeCell ref="A38:H38"/>
    <mergeCell ref="A2:H2"/>
    <mergeCell ref="A24:H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2026-06-03T09:48:03Z</dcterms:created>
  <dcterms:modified xsi:type="dcterms:W3CDTF">2026-09-14T09:00:01Z</dcterms:modified>
</cp:coreProperties>
</file>