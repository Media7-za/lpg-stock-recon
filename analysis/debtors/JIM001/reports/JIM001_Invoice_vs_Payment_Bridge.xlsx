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dge" sheetId="1" state="visible" r:id="rId1"/>
    <sheet name="Pay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#,##0.00;[Red]-R#,##0.00;&quot;—&quot;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3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0" fontId="2" fillId="4" borderId="0" pivotButton="0" quotePrefix="0" xfId="0"/>
    <xf numFmtId="164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1">
      <c r="A1" s="1" t="inlineStr">
        <is>
          <t>JIM001 — Invoice vs Payment Bridge</t>
        </is>
      </c>
    </row>
    <row r="2">
      <c r="A2" s="2" t="inlineStr">
        <is>
          <t>Period 2018-12 to 2026-06 · generated 2026-09-15 · source: invoices.csv, payments.csv, allocation_edges.csv, ERP allocation screens</t>
        </is>
      </c>
    </row>
    <row r="4">
      <c r="A4" s="1" t="inlineStr">
        <is>
          <t>Invoice side — what was billed</t>
        </is>
      </c>
    </row>
    <row r="5">
      <c r="A5" s="2" t="inlineStr">
        <is>
          <t>LPG (gas)</t>
        </is>
      </c>
      <c r="B5" s="3" t="n">
        <v>1102643.55</v>
      </c>
    </row>
    <row r="6">
      <c r="A6" s="2" t="inlineStr">
        <is>
          <t>CYL (cylinder deposits, net of -EMPTY credit notes)</t>
        </is>
      </c>
      <c r="B6" s="3" t="n">
        <v>-6.5</v>
      </c>
    </row>
    <row r="7">
      <c r="A7" s="2" t="inlineStr">
        <is>
          <t>OTHER (interest, net of same-day reversals)</t>
        </is>
      </c>
      <c r="B7" s="3" t="n">
        <v>0</v>
      </c>
    </row>
    <row r="8">
      <c r="A8" s="4" t="inlineStr">
        <is>
          <t>Total billed</t>
        </is>
      </c>
      <c r="B8" s="5">
        <f>SUM(B5:B7)</f>
        <v/>
      </c>
    </row>
    <row r="10">
      <c r="A10" s="1" t="inlineStr">
        <is>
          <t>Payment side — what was received, and how much is allocated</t>
        </is>
      </c>
    </row>
    <row r="11">
      <c r="A11" s="4" t="inlineStr">
        <is>
          <t>Payments received (77 documents, gross)</t>
        </is>
      </c>
      <c r="B11" s="5">
        <f>Payments!D79</f>
        <v/>
      </c>
    </row>
    <row r="12">
      <c r="A12" s="2" t="inlineStr">
        <is>
          <t xml:space="preserve">   of which ALLOCATED to specific invoices</t>
        </is>
      </c>
      <c r="B12" s="3">
        <f>Payments!E79</f>
        <v/>
      </c>
    </row>
    <row r="13">
      <c r="A13" s="2" t="inlineStr">
        <is>
          <t xml:space="preserve">   of which UNALLOCATED</t>
        </is>
      </c>
      <c r="B13" s="3">
        <f>Payments!F79</f>
        <v/>
      </c>
    </row>
    <row r="14">
      <c r="A14" s="2" t="inlineStr">
        <is>
          <t xml:space="preserve">   allocated %</t>
        </is>
      </c>
      <c r="B14" s="6">
        <f>B12/B11</f>
        <v/>
      </c>
    </row>
    <row r="16">
      <c r="A16" s="1" t="inlineStr">
        <is>
          <t>Bridge to the ERP balance</t>
        </is>
      </c>
    </row>
    <row r="17">
      <c r="A17" s="2" t="inlineStr">
        <is>
          <t>Total billed</t>
        </is>
      </c>
      <c r="B17" s="3">
        <f>B8</f>
        <v/>
      </c>
    </row>
    <row r="18">
      <c r="A18" s="2" t="inlineStr">
        <is>
          <t>less payments received</t>
        </is>
      </c>
      <c r="B18" s="3">
        <f>-B11</f>
        <v/>
      </c>
    </row>
    <row r="19">
      <c r="A19" s="4">
        <f> Closing balance, computed</f>
        <v/>
      </c>
      <c r="B19" s="5">
        <f>B17+B18</f>
        <v/>
      </c>
    </row>
    <row r="20">
      <c r="A20" s="2" t="inlineStr">
        <is>
          <t>add pre-2018 opening journal entry (documented, static)</t>
        </is>
      </c>
      <c r="B20" s="3" t="n">
        <v>7350</v>
      </c>
    </row>
    <row r="21">
      <c r="A21" s="2" t="inlineStr">
        <is>
          <t>add ERP residual variance (dashboard_metrics.erp_residual_variance)</t>
        </is>
      </c>
      <c r="B21" s="3" t="n">
        <v>55.91</v>
      </c>
    </row>
    <row r="22">
      <c r="A22" s="4">
        <f> Reconciled balance</f>
        <v/>
      </c>
      <c r="B22" s="5">
        <f>B19+B20+B21</f>
        <v/>
      </c>
    </row>
    <row r="23">
      <c r="A23" s="4" t="inlineStr">
        <is>
          <t>ERP stated balance (dashboard_metrics)</t>
        </is>
      </c>
      <c r="B23" s="5" t="n">
        <v>140297.23</v>
      </c>
    </row>
    <row r="24">
      <c r="A24" s="4" t="inlineStr">
        <is>
          <t>VARIANCE</t>
        </is>
      </c>
      <c r="B24" s="5">
        <f>B22-B23</f>
        <v/>
      </c>
    </row>
    <row r="26">
      <c r="A26" s="1" t="inlineStr">
        <is>
          <t>The unallocated cash, broken down</t>
        </is>
      </c>
    </row>
    <row r="27">
      <c r="A27" s="2" t="inlineStr">
        <is>
          <t>Pre-2021 orphan payments (14 docs, unresolvable in-system)</t>
        </is>
      </c>
      <c r="B27" s="3" t="n">
        <v>54902.41</v>
      </c>
    </row>
    <row r="28">
      <c r="A28" s="2" t="inlineStr">
        <is>
          <t>All other gaps</t>
        </is>
      </c>
      <c r="B28" s="3" t="n">
        <v>22732.93</v>
      </c>
    </row>
    <row r="29">
      <c r="A29" s="4" t="inlineStr">
        <is>
          <t>Total unallocated</t>
        </is>
      </c>
      <c r="B29" s="5">
        <f>SUM(B27:B28)</f>
        <v/>
      </c>
    </row>
    <row r="31">
      <c r="A31" s="2" t="inlineStr">
        <is>
          <t>ERP's own 'unmatched_overpayments' field, for comparison</t>
        </is>
      </c>
      <c r="B31" s="3" t="n">
        <v>105964.31</v>
      </c>
    </row>
    <row r="32">
      <c r="A32" s="2" t="inlineStr">
        <is>
          <t>difference vs our figure</t>
        </is>
      </c>
      <c r="B32" s="3">
        <f>B31-B29</f>
        <v/>
      </c>
    </row>
    <row r="34" ht="105" customHeight="1">
      <c r="A34" s="7" t="inlineStr">
        <is>
          <t>Reading this: ORIGINAL is the payment's gross as banked. ALLOCATED is how much of it the evidence ties to specific invoices. A gap is NOT necessarily missing money — for most docs it means the allocation record is incomplete, not that cash went astray. The five 2024 receipts marked 'ERP screen' are 100% allocated per the ERP's own View Payment Allocations screen; doc 32896 is proven by a cent-exact interlock with one of those screens; docs 38846 and 39812 are proven against Jan/Feb 2025 invoices. allocation_edges.csv is stale for the last two and still tags them UNALLOCATED — corrected here. The pre-2021 orphans are the one block that is genuinely unresolved and needs external bank records.</t>
        </is>
      </c>
    </row>
  </sheetData>
  <mergeCells count="1">
    <mergeCell ref="A34:B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9" customWidth="1" min="4" max="4"/>
    <col width="22" customWidth="1" min="5" max="5"/>
    <col width="16" customWidth="1" min="6" max="6"/>
    <col width="11" customWidth="1" min="7" max="7"/>
    <col width="30" customWidth="1" min="8" max="8"/>
  </cols>
  <sheetData>
    <row r="1">
      <c r="A1" s="8" t="inlineStr">
        <is>
          <t>Payment date</t>
        </is>
      </c>
      <c r="B1" s="8" t="inlineStr">
        <is>
          <t>Doc #</t>
        </is>
      </c>
      <c r="C1" s="8" t="inlineStr">
        <is>
          <t>Batch ref</t>
        </is>
      </c>
      <c r="D1" s="8" t="inlineStr">
        <is>
          <t>ORIGINAL amount (R)</t>
        </is>
      </c>
      <c r="E1" s="8" t="inlineStr">
        <is>
          <t>ALLOCATED to invoices (R)</t>
        </is>
      </c>
      <c r="F1" s="8" t="inlineStr">
        <is>
          <t>UNALLOCATED (R)</t>
        </is>
      </c>
      <c r="G1" s="8" t="inlineStr">
        <is>
          <t># invoices</t>
        </is>
      </c>
      <c r="H1" s="8" t="inlineStr">
        <is>
          <t>Allocation evidence</t>
        </is>
      </c>
    </row>
    <row r="2">
      <c r="A2" s="9" t="inlineStr">
        <is>
          <t>2018-12-18</t>
        </is>
      </c>
      <c r="B2" s="9" t="inlineStr">
        <is>
          <t>4832</t>
        </is>
      </c>
      <c r="C2" s="9" t="inlineStr">
        <is>
          <t>EASYREC</t>
        </is>
      </c>
      <c r="D2" s="10" t="n">
        <v>3750</v>
      </c>
      <c r="E2" s="10" t="n">
        <v>0</v>
      </c>
      <c r="F2" s="10">
        <f>D2-E2</f>
        <v/>
      </c>
      <c r="G2" s="9" t="n">
        <v>0</v>
      </c>
      <c r="H2" s="9" t="inlineStr">
        <is>
          <t>none (pre-2021 orphan)</t>
        </is>
      </c>
    </row>
    <row r="3">
      <c r="A3" s="9" t="inlineStr">
        <is>
          <t>2018-12-29</t>
        </is>
      </c>
      <c r="B3" s="9" t="inlineStr">
        <is>
          <t>4839</t>
        </is>
      </c>
      <c r="C3" s="9" t="inlineStr">
        <is>
          <t>EASYREC</t>
        </is>
      </c>
      <c r="D3" s="10" t="n">
        <v>4250</v>
      </c>
      <c r="E3" s="10" t="n">
        <v>0</v>
      </c>
      <c r="F3" s="10">
        <f>D3-E3</f>
        <v/>
      </c>
      <c r="G3" s="9" t="n">
        <v>0</v>
      </c>
      <c r="H3" s="9" t="inlineStr">
        <is>
          <t>none (pre-2021 orphan)</t>
        </is>
      </c>
    </row>
    <row r="4">
      <c r="A4" s="9" t="inlineStr">
        <is>
          <t>2019-01-05</t>
        </is>
      </c>
      <c r="B4" s="9" t="inlineStr">
        <is>
          <t>4807</t>
        </is>
      </c>
      <c r="C4" s="9" t="inlineStr">
        <is>
          <t>T3000210</t>
        </is>
      </c>
      <c r="D4" s="10" t="n">
        <v>700.01</v>
      </c>
      <c r="E4" s="10" t="n">
        <v>0</v>
      </c>
      <c r="F4" s="10">
        <f>D4-E4</f>
        <v/>
      </c>
      <c r="G4" s="9" t="n">
        <v>0</v>
      </c>
      <c r="H4" s="9" t="inlineStr">
        <is>
          <t>none (pre-2021 orphan)</t>
        </is>
      </c>
    </row>
    <row r="5">
      <c r="A5" s="9" t="inlineStr">
        <is>
          <t>2019-01-09</t>
        </is>
      </c>
      <c r="B5" s="9" t="inlineStr">
        <is>
          <t>4898</t>
        </is>
      </c>
      <c r="C5" s="9" t="inlineStr">
        <is>
          <t>EASYREC</t>
        </is>
      </c>
      <c r="D5" s="10" t="n">
        <v>8500</v>
      </c>
      <c r="E5" s="10" t="n">
        <v>0</v>
      </c>
      <c r="F5" s="10">
        <f>D5-E5</f>
        <v/>
      </c>
      <c r="G5" s="9" t="n">
        <v>0</v>
      </c>
      <c r="H5" s="9" t="inlineStr">
        <is>
          <t>none (pre-2021 orphan)</t>
        </is>
      </c>
    </row>
    <row r="6">
      <c r="A6" s="9" t="inlineStr">
        <is>
          <t>2019-01-10</t>
        </is>
      </c>
      <c r="B6" s="9" t="inlineStr">
        <is>
          <t>4841</t>
        </is>
      </c>
      <c r="C6" s="9" t="inlineStr">
        <is>
          <t>T3000214</t>
        </is>
      </c>
      <c r="D6" s="10" t="n">
        <v>700.01</v>
      </c>
      <c r="E6" s="10" t="n">
        <v>0</v>
      </c>
      <c r="F6" s="10">
        <f>D6-E6</f>
        <v/>
      </c>
      <c r="G6" s="9" t="n">
        <v>0</v>
      </c>
      <c r="H6" s="9" t="inlineStr">
        <is>
          <t>none (pre-2021 orphan)</t>
        </is>
      </c>
    </row>
    <row r="7">
      <c r="A7" s="2" t="inlineStr">
        <is>
          <t>2019-01-21</t>
        </is>
      </c>
      <c r="B7" s="2" t="inlineStr">
        <is>
          <t>4904</t>
        </is>
      </c>
      <c r="C7" s="2" t="inlineStr">
        <is>
          <t>EASYREC</t>
        </is>
      </c>
      <c r="D7" s="3" t="n">
        <v>7000</v>
      </c>
      <c r="E7" s="3" t="n">
        <v>6556.68</v>
      </c>
      <c r="F7" s="3">
        <f>D7-E7</f>
        <v/>
      </c>
      <c r="G7" s="2" t="n">
        <v>2</v>
      </c>
      <c r="H7" s="2" t="inlineStr">
        <is>
          <t>alloc_edges</t>
        </is>
      </c>
    </row>
    <row r="8">
      <c r="A8" s="9" t="inlineStr">
        <is>
          <t>2019-02-07</t>
        </is>
      </c>
      <c r="B8" s="9" t="inlineStr">
        <is>
          <t>5043</t>
        </is>
      </c>
      <c r="C8" s="9" t="inlineStr">
        <is>
          <t>EASYREC</t>
        </is>
      </c>
      <c r="D8" s="10" t="n">
        <v>4870</v>
      </c>
      <c r="E8" s="10" t="n">
        <v>0</v>
      </c>
      <c r="F8" s="10">
        <f>D8-E8</f>
        <v/>
      </c>
      <c r="G8" s="9" t="n">
        <v>0</v>
      </c>
      <c r="H8" s="9" t="inlineStr">
        <is>
          <t>none (pre-2021 orphan)</t>
        </is>
      </c>
    </row>
    <row r="9">
      <c r="A9" s="9" t="inlineStr">
        <is>
          <t>2019-02-19</t>
        </is>
      </c>
      <c r="B9" s="9" t="inlineStr">
        <is>
          <t>5047</t>
        </is>
      </c>
      <c r="C9" s="9" t="inlineStr">
        <is>
          <t>EASYREC</t>
        </is>
      </c>
      <c r="D9" s="10" t="n">
        <v>6827.39</v>
      </c>
      <c r="E9" s="10" t="n">
        <v>0</v>
      </c>
      <c r="F9" s="10">
        <f>D9-E9</f>
        <v/>
      </c>
      <c r="G9" s="9" t="n">
        <v>0</v>
      </c>
      <c r="H9" s="9" t="inlineStr">
        <is>
          <t>none (pre-2021 orphan)</t>
        </is>
      </c>
    </row>
    <row r="10">
      <c r="A10" s="2" t="inlineStr">
        <is>
          <t>2019-04-24</t>
        </is>
      </c>
      <c r="B10" s="2" t="inlineStr">
        <is>
          <t>5437</t>
        </is>
      </c>
      <c r="C10" s="2" t="inlineStr">
        <is>
          <t>STAT 162</t>
        </is>
      </c>
      <c r="D10" s="3" t="n">
        <v>9925</v>
      </c>
      <c r="E10" s="3" t="n">
        <v>9925</v>
      </c>
      <c r="F10" s="3">
        <f>D10-E10</f>
        <v/>
      </c>
      <c r="G10" s="2" t="n">
        <v>9</v>
      </c>
      <c r="H10" s="2" t="inlineStr">
        <is>
          <t>alloc_edges</t>
        </is>
      </c>
    </row>
    <row r="11">
      <c r="A11" s="2" t="inlineStr">
        <is>
          <t>2019-05-06</t>
        </is>
      </c>
      <c r="B11" s="2" t="inlineStr">
        <is>
          <t>5436</t>
        </is>
      </c>
      <c r="C11" s="2" t="inlineStr">
        <is>
          <t>STAT 163</t>
        </is>
      </c>
      <c r="D11" s="3" t="n">
        <v>13505</v>
      </c>
      <c r="E11" s="3" t="n">
        <v>13504.86</v>
      </c>
      <c r="F11" s="3">
        <f>D11-E11</f>
        <v/>
      </c>
      <c r="G11" s="2" t="n">
        <v>9</v>
      </c>
      <c r="H11" s="2" t="inlineStr">
        <is>
          <t>alloc_edges</t>
        </is>
      </c>
    </row>
    <row r="12">
      <c r="A12" s="2" t="inlineStr">
        <is>
          <t>2019-06-20</t>
        </is>
      </c>
      <c r="B12" s="2" t="inlineStr">
        <is>
          <t>5618</t>
        </is>
      </c>
      <c r="C12" s="2" t="inlineStr">
        <is>
          <t>STAT 163</t>
        </is>
      </c>
      <c r="D12" s="3" t="n">
        <v>8625</v>
      </c>
      <c r="E12" s="3" t="n">
        <v>8625</v>
      </c>
      <c r="F12" s="3">
        <f>D12-E12</f>
        <v/>
      </c>
      <c r="G12" s="2" t="n">
        <v>6</v>
      </c>
      <c r="H12" s="2" t="inlineStr">
        <is>
          <t>alloc_edges</t>
        </is>
      </c>
    </row>
    <row r="13">
      <c r="A13" s="2" t="inlineStr">
        <is>
          <t>2019-07-04</t>
        </is>
      </c>
      <c r="B13" s="2" t="inlineStr">
        <is>
          <t>5804</t>
        </is>
      </c>
      <c r="C13" s="2" t="inlineStr">
        <is>
          <t>STAT165</t>
        </is>
      </c>
      <c r="D13" s="3" t="n">
        <v>12750</v>
      </c>
      <c r="E13" s="3" t="n">
        <v>12750</v>
      </c>
      <c r="F13" s="3">
        <f>D13-E13</f>
        <v/>
      </c>
      <c r="G13" s="2" t="n">
        <v>9</v>
      </c>
      <c r="H13" s="2" t="inlineStr">
        <is>
          <t>alloc_edges</t>
        </is>
      </c>
    </row>
    <row r="14">
      <c r="A14" s="9" t="inlineStr">
        <is>
          <t>2019-07-08</t>
        </is>
      </c>
      <c r="B14" s="9" t="inlineStr">
        <is>
          <t>5226</t>
        </is>
      </c>
      <c r="C14" s="9" t="inlineStr">
        <is>
          <t>STAT 161</t>
        </is>
      </c>
      <c r="D14" s="10" t="n">
        <v>3000</v>
      </c>
      <c r="E14" s="10" t="n">
        <v>0</v>
      </c>
      <c r="F14" s="10">
        <f>D14-E14</f>
        <v/>
      </c>
      <c r="G14" s="9" t="n">
        <v>0</v>
      </c>
      <c r="H14" s="9" t="inlineStr">
        <is>
          <t>none (pre-2021 orphan)</t>
        </is>
      </c>
    </row>
    <row r="15">
      <c r="A15" s="2" t="inlineStr">
        <is>
          <t>2019-08-06</t>
        </is>
      </c>
      <c r="B15" s="2" t="inlineStr">
        <is>
          <t>5876</t>
        </is>
      </c>
      <c r="C15" s="2" t="inlineStr">
        <is>
          <t>STAT166</t>
        </is>
      </c>
      <c r="D15" s="3" t="n">
        <v>14429</v>
      </c>
      <c r="E15" s="3" t="n">
        <v>14429</v>
      </c>
      <c r="F15" s="3">
        <f>D15-E15</f>
        <v/>
      </c>
      <c r="G15" s="2" t="n">
        <v>10</v>
      </c>
      <c r="H15" s="2" t="inlineStr">
        <is>
          <t>alloc_edges</t>
        </is>
      </c>
    </row>
    <row r="16">
      <c r="A16" s="2" t="inlineStr">
        <is>
          <t>2019-09-04</t>
        </is>
      </c>
      <c r="B16" s="2" t="inlineStr">
        <is>
          <t>5988</t>
        </is>
      </c>
      <c r="C16" s="2" t="inlineStr">
        <is>
          <t>STAT167</t>
        </is>
      </c>
      <c r="D16" s="3" t="n">
        <v>13875</v>
      </c>
      <c r="E16" s="3" t="n">
        <v>13874.99</v>
      </c>
      <c r="F16" s="3">
        <f>D16-E16</f>
        <v/>
      </c>
      <c r="G16" s="2" t="n">
        <v>10</v>
      </c>
      <c r="H16" s="2" t="inlineStr">
        <is>
          <t>alloc_edges</t>
        </is>
      </c>
    </row>
    <row r="17">
      <c r="A17" s="2" t="inlineStr">
        <is>
          <t>2019-10-21</t>
        </is>
      </c>
      <c r="B17" s="2" t="inlineStr">
        <is>
          <t>6104</t>
        </is>
      </c>
      <c r="C17" s="2" t="inlineStr">
        <is>
          <t>STAT168</t>
        </is>
      </c>
      <c r="D17" s="3" t="n">
        <v>13875</v>
      </c>
      <c r="E17" s="3" t="n">
        <v>13874.98</v>
      </c>
      <c r="F17" s="3">
        <f>D17-E17</f>
        <v/>
      </c>
      <c r="G17" s="2" t="n">
        <v>8</v>
      </c>
      <c r="H17" s="2" t="inlineStr">
        <is>
          <t>alloc_edges</t>
        </is>
      </c>
    </row>
    <row r="18">
      <c r="A18" s="2" t="inlineStr">
        <is>
          <t>2019-12-09</t>
        </is>
      </c>
      <c r="B18" s="2" t="inlineStr">
        <is>
          <t>6316</t>
        </is>
      </c>
      <c r="C18" s="2" t="inlineStr">
        <is>
          <t>STAT170</t>
        </is>
      </c>
      <c r="D18" s="3" t="n">
        <v>10875</v>
      </c>
      <c r="E18" s="3" t="n">
        <v>10874.96</v>
      </c>
      <c r="F18" s="3">
        <f>D18-E18</f>
        <v/>
      </c>
      <c r="G18" s="2" t="n">
        <v>7</v>
      </c>
      <c r="H18" s="2" t="inlineStr">
        <is>
          <t>alloc_edges</t>
        </is>
      </c>
    </row>
    <row r="19">
      <c r="A19" s="9" t="inlineStr">
        <is>
          <t>2019-12-24</t>
        </is>
      </c>
      <c r="B19" s="9" t="inlineStr">
        <is>
          <t>6381</t>
        </is>
      </c>
      <c r="C19" s="9" t="inlineStr">
        <is>
          <t>STAT170</t>
        </is>
      </c>
      <c r="D19" s="10" t="n">
        <v>930</v>
      </c>
      <c r="E19" s="10" t="n">
        <v>0</v>
      </c>
      <c r="F19" s="10">
        <f>D19-E19</f>
        <v/>
      </c>
      <c r="G19" s="9" t="n">
        <v>0</v>
      </c>
      <c r="H19" s="9" t="inlineStr">
        <is>
          <t>none (pre-2021 orphan)</t>
        </is>
      </c>
    </row>
    <row r="20">
      <c r="A20" s="2" t="inlineStr">
        <is>
          <t>2019-12-27</t>
        </is>
      </c>
      <c r="B20" s="2" t="inlineStr">
        <is>
          <t>6376</t>
        </is>
      </c>
      <c r="C20" s="2" t="inlineStr">
        <is>
          <t>STAT170</t>
        </is>
      </c>
      <c r="D20" s="3" t="n">
        <v>12915</v>
      </c>
      <c r="E20" s="3" t="n">
        <v>12914.93</v>
      </c>
      <c r="F20" s="3">
        <f>D20-E20</f>
        <v/>
      </c>
      <c r="G20" s="2" t="n">
        <v>9</v>
      </c>
      <c r="H20" s="2" t="inlineStr">
        <is>
          <t>alloc_edges</t>
        </is>
      </c>
    </row>
    <row r="21">
      <c r="A21" s="2" t="inlineStr">
        <is>
          <t>2020-01-17</t>
        </is>
      </c>
      <c r="B21" s="2" t="inlineStr">
        <is>
          <t>6423</t>
        </is>
      </c>
      <c r="C21" s="2" t="inlineStr">
        <is>
          <t>STAT171</t>
        </is>
      </c>
      <c r="D21" s="3" t="n">
        <v>12715</v>
      </c>
      <c r="E21" s="3" t="n">
        <v>12715</v>
      </c>
      <c r="F21" s="3">
        <f>D21-E21</f>
        <v/>
      </c>
      <c r="G21" s="2" t="n">
        <v>8</v>
      </c>
      <c r="H21" s="2" t="inlineStr">
        <is>
          <t>alloc_edges</t>
        </is>
      </c>
    </row>
    <row r="22">
      <c r="A22" s="2" t="inlineStr">
        <is>
          <t>2020-03-03</t>
        </is>
      </c>
      <c r="B22" s="2" t="inlineStr">
        <is>
          <t>6685</t>
        </is>
      </c>
      <c r="C22" s="2" t="inlineStr">
        <is>
          <t>STAT173</t>
        </is>
      </c>
      <c r="D22" s="3" t="n">
        <v>15302.8</v>
      </c>
      <c r="E22" s="3" t="n">
        <v>15302.8</v>
      </c>
      <c r="F22" s="3">
        <f>D22-E22</f>
        <v/>
      </c>
      <c r="G22" s="2" t="n">
        <v>10</v>
      </c>
      <c r="H22" s="2" t="inlineStr">
        <is>
          <t>alloc_edges</t>
        </is>
      </c>
    </row>
    <row r="23">
      <c r="A23" s="9" t="inlineStr">
        <is>
          <t>2020-06-04</t>
        </is>
      </c>
      <c r="B23" s="9" t="inlineStr">
        <is>
          <t>7216</t>
        </is>
      </c>
      <c r="C23" s="9" t="inlineStr">
        <is>
          <t>JUNE1</t>
        </is>
      </c>
      <c r="D23" s="10" t="n">
        <v>3250</v>
      </c>
      <c r="E23" s="10" t="n">
        <v>0</v>
      </c>
      <c r="F23" s="10">
        <f>D23-E23</f>
        <v/>
      </c>
      <c r="G23" s="9" t="n">
        <v>0</v>
      </c>
      <c r="H23" s="9" t="inlineStr">
        <is>
          <t>none (pre-2021 orphan)</t>
        </is>
      </c>
    </row>
    <row r="24">
      <c r="A24" s="9" t="inlineStr">
        <is>
          <t>2020-06-29</t>
        </is>
      </c>
      <c r="B24" s="9" t="inlineStr">
        <is>
          <t>7226</t>
        </is>
      </c>
      <c r="C24" s="9" t="inlineStr">
        <is>
          <t>JUNE1</t>
        </is>
      </c>
      <c r="D24" s="10" t="n">
        <v>5000</v>
      </c>
      <c r="E24" s="10" t="n">
        <v>0</v>
      </c>
      <c r="F24" s="10">
        <f>D24-E24</f>
        <v/>
      </c>
      <c r="G24" s="9" t="n">
        <v>0</v>
      </c>
      <c r="H24" s="9" t="inlineStr">
        <is>
          <t>none (pre-2021 orphan)</t>
        </is>
      </c>
    </row>
    <row r="25">
      <c r="A25" s="9" t="inlineStr">
        <is>
          <t>2020-08-04</t>
        </is>
      </c>
      <c r="B25" s="9" t="inlineStr">
        <is>
          <t>7348</t>
        </is>
      </c>
      <c r="C25" s="9" t="inlineStr">
        <is>
          <t>STAT178</t>
        </is>
      </c>
      <c r="D25" s="10" t="n">
        <v>3000</v>
      </c>
      <c r="E25" s="10" t="n">
        <v>0</v>
      </c>
      <c r="F25" s="10">
        <f>D25-E25</f>
        <v/>
      </c>
      <c r="G25" s="9" t="n">
        <v>0</v>
      </c>
      <c r="H25" s="9" t="inlineStr">
        <is>
          <t>none (pre-2021 orphan)</t>
        </is>
      </c>
    </row>
    <row r="26">
      <c r="A26" s="9" t="inlineStr">
        <is>
          <t>2020-09-04</t>
        </is>
      </c>
      <c r="B26" s="9" t="inlineStr">
        <is>
          <t>7489</t>
        </is>
      </c>
      <c r="C26" s="9" t="inlineStr">
        <is>
          <t>STAT179</t>
        </is>
      </c>
      <c r="D26" s="10" t="n">
        <v>5000</v>
      </c>
      <c r="E26" s="10" t="n">
        <v>0</v>
      </c>
      <c r="F26" s="10">
        <f>D26-E26</f>
        <v/>
      </c>
      <c r="G26" s="9" t="n">
        <v>0</v>
      </c>
      <c r="H26" s="9" t="inlineStr">
        <is>
          <t>none (pre-2021 orphan)</t>
        </is>
      </c>
    </row>
    <row r="27">
      <c r="A27" s="9" t="inlineStr">
        <is>
          <t>2020-11-05</t>
        </is>
      </c>
      <c r="B27" s="9" t="inlineStr">
        <is>
          <t>7572</t>
        </is>
      </c>
      <c r="C27" s="9" t="inlineStr">
        <is>
          <t>STAT181</t>
        </is>
      </c>
      <c r="D27" s="10" t="n">
        <v>5125</v>
      </c>
      <c r="E27" s="10" t="n">
        <v>0</v>
      </c>
      <c r="F27" s="10">
        <f>D27-E27</f>
        <v/>
      </c>
      <c r="G27" s="9" t="n">
        <v>0</v>
      </c>
      <c r="H27" s="9" t="inlineStr">
        <is>
          <t>none (pre-2021 orphan)</t>
        </is>
      </c>
    </row>
    <row r="28">
      <c r="A28" s="2" t="inlineStr">
        <is>
          <t>2021-04-09</t>
        </is>
      </c>
      <c r="B28" s="2" t="inlineStr">
        <is>
          <t>8420</t>
        </is>
      </c>
      <c r="C28" s="2" t="inlineStr">
        <is>
          <t>STAT186</t>
        </is>
      </c>
      <c r="D28" s="3" t="n">
        <v>12518.21</v>
      </c>
      <c r="E28" s="3" t="n">
        <v>12518.2</v>
      </c>
      <c r="F28" s="3">
        <f>D28-E28</f>
        <v/>
      </c>
      <c r="G28" s="2" t="n">
        <v>7</v>
      </c>
      <c r="H28" s="2" t="inlineStr">
        <is>
          <t>alloc_edges</t>
        </is>
      </c>
    </row>
    <row r="29">
      <c r="A29" s="2" t="inlineStr">
        <is>
          <t>2021-05-11</t>
        </is>
      </c>
      <c r="B29" s="2" t="inlineStr">
        <is>
          <t>8764</t>
        </is>
      </c>
      <c r="C29" s="2" t="inlineStr">
        <is>
          <t>STAT187</t>
        </is>
      </c>
      <c r="D29" s="3" t="n">
        <v>9765.76</v>
      </c>
      <c r="E29" s="3" t="n">
        <v>9765.76</v>
      </c>
      <c r="F29" s="3">
        <f>D29-E29</f>
        <v/>
      </c>
      <c r="G29" s="2" t="n">
        <v>7</v>
      </c>
      <c r="H29" s="2" t="inlineStr">
        <is>
          <t>alloc_edges</t>
        </is>
      </c>
    </row>
    <row r="30">
      <c r="A30" s="2" t="inlineStr">
        <is>
          <t>2021-06-03</t>
        </is>
      </c>
      <c r="B30" s="2" t="inlineStr">
        <is>
          <t>9315</t>
        </is>
      </c>
      <c r="C30" s="2" t="inlineStr">
        <is>
          <t>STAT188</t>
        </is>
      </c>
      <c r="D30" s="3" t="n">
        <v>12222.9</v>
      </c>
      <c r="E30" s="3" t="n">
        <v>12222.9</v>
      </c>
      <c r="F30" s="3">
        <f>D30-E30</f>
        <v/>
      </c>
      <c r="G30" s="2" t="n">
        <v>9</v>
      </c>
      <c r="H30" s="2" t="inlineStr">
        <is>
          <t>alloc_edges</t>
        </is>
      </c>
    </row>
    <row r="31">
      <c r="A31" s="2" t="inlineStr">
        <is>
          <t>2021-07-01</t>
        </is>
      </c>
      <c r="B31" s="2" t="inlineStr">
        <is>
          <t>9996</t>
        </is>
      </c>
      <c r="C31" s="2" t="inlineStr">
        <is>
          <t>STAT189</t>
        </is>
      </c>
      <c r="D31" s="3" t="n">
        <v>11292.11</v>
      </c>
      <c r="E31" s="3" t="n">
        <v>11292.11</v>
      </c>
      <c r="F31" s="3">
        <f>D31-E31</f>
        <v/>
      </c>
      <c r="G31" s="2" t="n">
        <v>8</v>
      </c>
      <c r="H31" s="2" t="inlineStr">
        <is>
          <t>alloc_edges</t>
        </is>
      </c>
    </row>
    <row r="32">
      <c r="A32" s="2" t="inlineStr">
        <is>
          <t>2021-08-05</t>
        </is>
      </c>
      <c r="B32" s="2" t="inlineStr">
        <is>
          <t>10226</t>
        </is>
      </c>
      <c r="C32" s="2" t="inlineStr">
        <is>
          <t>STAT190</t>
        </is>
      </c>
      <c r="D32" s="3" t="n">
        <v>9079.940000000001</v>
      </c>
      <c r="E32" s="3" t="n">
        <v>9079.940000000001</v>
      </c>
      <c r="F32" s="3">
        <f>D32-E32</f>
        <v/>
      </c>
      <c r="G32" s="2" t="n">
        <v>7</v>
      </c>
      <c r="H32" s="2" t="inlineStr">
        <is>
          <t>alloc_edges</t>
        </is>
      </c>
    </row>
    <row r="33">
      <c r="A33" s="2" t="inlineStr">
        <is>
          <t>2021-09-02</t>
        </is>
      </c>
      <c r="B33" s="2" t="inlineStr">
        <is>
          <t>10584</t>
        </is>
      </c>
      <c r="C33" s="2" t="inlineStr">
        <is>
          <t>STAT191</t>
        </is>
      </c>
      <c r="D33" s="3" t="n">
        <v>13012.5</v>
      </c>
      <c r="E33" s="3" t="n">
        <v>13012.5</v>
      </c>
      <c r="F33" s="3">
        <f>D33-E33</f>
        <v/>
      </c>
      <c r="G33" s="2" t="n">
        <v>10</v>
      </c>
      <c r="H33" s="2" t="inlineStr">
        <is>
          <t>alloc_edges</t>
        </is>
      </c>
    </row>
    <row r="34">
      <c r="A34" s="2" t="inlineStr">
        <is>
          <t>2021-10-07</t>
        </is>
      </c>
      <c r="B34" s="2" t="inlineStr">
        <is>
          <t>11068</t>
        </is>
      </c>
      <c r="C34" s="2" t="inlineStr">
        <is>
          <t>STAT192</t>
        </is>
      </c>
      <c r="D34" s="3" t="n">
        <v>13260.28</v>
      </c>
      <c r="E34" s="3" t="n">
        <v>13260.28</v>
      </c>
      <c r="F34" s="3">
        <f>D34-E34</f>
        <v/>
      </c>
      <c r="G34" s="2" t="n">
        <v>8</v>
      </c>
      <c r="H34" s="2" t="inlineStr">
        <is>
          <t>alloc_edges</t>
        </is>
      </c>
    </row>
    <row r="35">
      <c r="A35" s="2" t="inlineStr">
        <is>
          <t>2021-11-04</t>
        </is>
      </c>
      <c r="B35" s="2" t="inlineStr">
        <is>
          <t>11558</t>
        </is>
      </c>
      <c r="C35" s="2" t="inlineStr">
        <is>
          <t>STAT193</t>
        </is>
      </c>
      <c r="D35" s="3" t="n">
        <v>12929.71</v>
      </c>
      <c r="E35" s="3" t="n">
        <v>12929.71</v>
      </c>
      <c r="F35" s="3">
        <f>D35-E35</f>
        <v/>
      </c>
      <c r="G35" s="2" t="n">
        <v>7</v>
      </c>
      <c r="H35" s="2" t="inlineStr">
        <is>
          <t>alloc_edges</t>
        </is>
      </c>
    </row>
    <row r="36">
      <c r="A36" s="2" t="inlineStr">
        <is>
          <t>2021-12-20</t>
        </is>
      </c>
      <c r="B36" s="2" t="inlineStr">
        <is>
          <t>12146</t>
        </is>
      </c>
      <c r="C36" s="2" t="inlineStr">
        <is>
          <t>STAT194</t>
        </is>
      </c>
      <c r="D36" s="3" t="n">
        <v>12160.3</v>
      </c>
      <c r="E36" s="3" t="n">
        <v>12160.3</v>
      </c>
      <c r="F36" s="3">
        <f>D36-E36</f>
        <v/>
      </c>
      <c r="G36" s="2" t="n">
        <v>6</v>
      </c>
      <c r="H36" s="2" t="inlineStr">
        <is>
          <t>alloc_edges</t>
        </is>
      </c>
    </row>
    <row r="37">
      <c r="A37" s="2" t="inlineStr">
        <is>
          <t>2022-01-31</t>
        </is>
      </c>
      <c r="B37" s="2" t="inlineStr">
        <is>
          <t>12719</t>
        </is>
      </c>
      <c r="C37" s="2" t="inlineStr">
        <is>
          <t>STAT196</t>
        </is>
      </c>
      <c r="D37" s="3" t="n">
        <v>17018.3</v>
      </c>
      <c r="E37" s="3" t="n">
        <v>16778.82</v>
      </c>
      <c r="F37" s="3">
        <f>D37-E37</f>
        <v/>
      </c>
      <c r="G37" s="2" t="n">
        <v>7</v>
      </c>
      <c r="H37" s="2" t="inlineStr">
        <is>
          <t>alloc_edges</t>
        </is>
      </c>
    </row>
    <row r="38">
      <c r="A38" s="2" t="inlineStr">
        <is>
          <t>2022-03-17</t>
        </is>
      </c>
      <c r="B38" s="2" t="inlineStr">
        <is>
          <t>13245</t>
        </is>
      </c>
      <c r="C38" s="2" t="inlineStr">
        <is>
          <t>STAT197</t>
        </is>
      </c>
      <c r="D38" s="3" t="n">
        <v>14982.58</v>
      </c>
      <c r="E38" s="3" t="n">
        <v>14982.58</v>
      </c>
      <c r="F38" s="3">
        <f>D38-E38</f>
        <v/>
      </c>
      <c r="G38" s="2" t="n">
        <v>7</v>
      </c>
      <c r="H38" s="2" t="inlineStr">
        <is>
          <t>alloc_edges</t>
        </is>
      </c>
    </row>
    <row r="39">
      <c r="A39" s="2" t="inlineStr">
        <is>
          <t>2022-04-12</t>
        </is>
      </c>
      <c r="B39" s="2" t="inlineStr">
        <is>
          <t>13583</t>
        </is>
      </c>
      <c r="C39" s="2" t="inlineStr">
        <is>
          <t>STAT198</t>
        </is>
      </c>
      <c r="D39" s="3" t="n">
        <v>13949</v>
      </c>
      <c r="E39" s="3" t="n">
        <v>13949</v>
      </c>
      <c r="F39" s="3">
        <f>D39-E39</f>
        <v/>
      </c>
      <c r="G39" s="2" t="n">
        <v>8</v>
      </c>
      <c r="H39" s="2" t="inlineStr">
        <is>
          <t>alloc_edges</t>
        </is>
      </c>
    </row>
    <row r="40">
      <c r="A40" s="2" t="inlineStr">
        <is>
          <t>2022-06-01</t>
        </is>
      </c>
      <c r="B40" s="2" t="inlineStr">
        <is>
          <t>14135</t>
        </is>
      </c>
      <c r="C40" s="2" t="inlineStr">
        <is>
          <t>STAT200</t>
        </is>
      </c>
      <c r="D40" s="3" t="n">
        <v>18184.64</v>
      </c>
      <c r="E40" s="3" t="n">
        <v>18184.64</v>
      </c>
      <c r="F40" s="3">
        <f>D40-E40</f>
        <v/>
      </c>
      <c r="G40" s="2" t="n">
        <v>8</v>
      </c>
      <c r="H40" s="2" t="inlineStr">
        <is>
          <t>alloc_edges</t>
        </is>
      </c>
    </row>
    <row r="41">
      <c r="A41" s="2" t="inlineStr">
        <is>
          <t>2022-07-26</t>
        </is>
      </c>
      <c r="B41" s="2" t="inlineStr">
        <is>
          <t>15071</t>
        </is>
      </c>
      <c r="C41" s="2" t="inlineStr">
        <is>
          <t>STAT201</t>
        </is>
      </c>
      <c r="D41" s="3" t="n">
        <v>17275.67</v>
      </c>
      <c r="E41" s="3" t="n">
        <v>17275.67</v>
      </c>
      <c r="F41" s="3">
        <f>D41-E41</f>
        <v/>
      </c>
      <c r="G41" s="2" t="n">
        <v>9</v>
      </c>
      <c r="H41" s="2" t="inlineStr">
        <is>
          <t>alloc_edges</t>
        </is>
      </c>
    </row>
    <row r="42">
      <c r="A42" s="2" t="inlineStr">
        <is>
          <t>2022-08-11</t>
        </is>
      </c>
      <c r="B42" s="2" t="inlineStr">
        <is>
          <t>15473</t>
        </is>
      </c>
      <c r="C42" s="2" t="inlineStr">
        <is>
          <t>STAT202</t>
        </is>
      </c>
      <c r="D42" s="3" t="n">
        <v>14488.95</v>
      </c>
      <c r="E42" s="3" t="n">
        <v>14488.95</v>
      </c>
      <c r="F42" s="3">
        <f>D42-E42</f>
        <v/>
      </c>
      <c r="G42" s="2" t="n">
        <v>8</v>
      </c>
      <c r="H42" s="2" t="inlineStr">
        <is>
          <t>alloc_edges</t>
        </is>
      </c>
    </row>
    <row r="43">
      <c r="A43" s="2" t="inlineStr">
        <is>
          <t>2022-09-10</t>
        </is>
      </c>
      <c r="B43" s="2" t="inlineStr">
        <is>
          <t>15987</t>
        </is>
      </c>
      <c r="C43" s="2" t="inlineStr">
        <is>
          <t>STAT203</t>
        </is>
      </c>
      <c r="D43" s="3" t="n">
        <v>17169.29</v>
      </c>
      <c r="E43" s="3" t="n">
        <v>17169.29</v>
      </c>
      <c r="F43" s="3">
        <f>D43-E43</f>
        <v/>
      </c>
      <c r="G43" s="2" t="n">
        <v>5</v>
      </c>
      <c r="H43" s="2" t="inlineStr">
        <is>
          <t>alloc_edges</t>
        </is>
      </c>
    </row>
    <row r="44">
      <c r="A44" s="2" t="inlineStr">
        <is>
          <t>2022-10-20</t>
        </is>
      </c>
      <c r="B44" s="2" t="inlineStr">
        <is>
          <t>16648</t>
        </is>
      </c>
      <c r="C44" s="2" t="inlineStr">
        <is>
          <t>STAT204</t>
        </is>
      </c>
      <c r="D44" s="3" t="n">
        <v>15885.27</v>
      </c>
      <c r="E44" s="3" t="n">
        <v>15337.5</v>
      </c>
      <c r="F44" s="3">
        <f>D44-E44</f>
        <v/>
      </c>
      <c r="G44" s="2" t="n">
        <v>4</v>
      </c>
      <c r="H44" s="2" t="inlineStr">
        <is>
          <t>alloc_edges</t>
        </is>
      </c>
    </row>
    <row r="45">
      <c r="A45" s="2" t="inlineStr">
        <is>
          <t>2022-11-24</t>
        </is>
      </c>
      <c r="B45" s="2" t="inlineStr">
        <is>
          <t>17073</t>
        </is>
      </c>
      <c r="C45" s="2" t="inlineStr">
        <is>
          <t>STAT205</t>
        </is>
      </c>
      <c r="D45" s="3" t="n">
        <v>13838.4</v>
      </c>
      <c r="E45" s="3" t="n">
        <v>13838.4</v>
      </c>
      <c r="F45" s="3">
        <f>D45-E45</f>
        <v/>
      </c>
      <c r="G45" s="2" t="n">
        <v>5</v>
      </c>
      <c r="H45" s="2" t="inlineStr">
        <is>
          <t>alloc_edges</t>
        </is>
      </c>
    </row>
    <row r="46">
      <c r="A46" s="2" t="inlineStr">
        <is>
          <t>2022-12-19</t>
        </is>
      </c>
      <c r="B46" s="2" t="inlineStr">
        <is>
          <t>17578</t>
        </is>
      </c>
      <c r="C46" s="2" t="inlineStr">
        <is>
          <t>STAT206</t>
        </is>
      </c>
      <c r="D46" s="3" t="n">
        <v>17989.92</v>
      </c>
      <c r="E46" s="3" t="n">
        <v>15222.24</v>
      </c>
      <c r="F46" s="3">
        <f>D46-E46</f>
        <v/>
      </c>
      <c r="G46" s="2" t="n">
        <v>5</v>
      </c>
      <c r="H46" s="2" t="inlineStr">
        <is>
          <t>alloc_edges</t>
        </is>
      </c>
    </row>
    <row r="47">
      <c r="A47" s="2" t="inlineStr">
        <is>
          <t>2023-01-19</t>
        </is>
      </c>
      <c r="B47" s="2" t="inlineStr">
        <is>
          <t>17777</t>
        </is>
      </c>
      <c r="C47" s="2" t="inlineStr">
        <is>
          <t>STAT207</t>
        </is>
      </c>
      <c r="D47" s="3" t="n">
        <v>10825.92</v>
      </c>
      <c r="E47" s="3" t="n">
        <v>10825.92</v>
      </c>
      <c r="F47" s="3">
        <f>D47-E47</f>
        <v/>
      </c>
      <c r="G47" s="2" t="n">
        <v>4</v>
      </c>
      <c r="H47" s="2" t="inlineStr">
        <is>
          <t>alloc_edges</t>
        </is>
      </c>
    </row>
    <row r="48">
      <c r="A48" s="2" t="inlineStr">
        <is>
          <t>2023-02-13</t>
        </is>
      </c>
      <c r="B48" s="2" t="inlineStr">
        <is>
          <t>18185</t>
        </is>
      </c>
      <c r="C48" s="2" t="inlineStr">
        <is>
          <t>STAT208</t>
        </is>
      </c>
      <c r="D48" s="3" t="n">
        <v>25184.36</v>
      </c>
      <c r="E48" s="3" t="n">
        <v>25184.36</v>
      </c>
      <c r="F48" s="3">
        <f>D48-E48</f>
        <v/>
      </c>
      <c r="G48" s="2" t="n">
        <v>6</v>
      </c>
      <c r="H48" s="2" t="inlineStr">
        <is>
          <t>alloc_edges</t>
        </is>
      </c>
    </row>
    <row r="49">
      <c r="A49" s="2" t="inlineStr">
        <is>
          <t>2023-03-22</t>
        </is>
      </c>
      <c r="B49" s="2" t="inlineStr">
        <is>
          <t>19176</t>
        </is>
      </c>
      <c r="C49" s="2" t="inlineStr">
        <is>
          <t>STAT: 89</t>
        </is>
      </c>
      <c r="D49" s="3" t="n">
        <v>11335.68</v>
      </c>
      <c r="E49" s="3" t="n">
        <v>11335.68</v>
      </c>
      <c r="F49" s="3">
        <f>D49-E49</f>
        <v/>
      </c>
      <c r="G49" s="2" t="n">
        <v>4</v>
      </c>
      <c r="H49" s="2" t="inlineStr">
        <is>
          <t>alloc_edges</t>
        </is>
      </c>
    </row>
    <row r="50">
      <c r="A50" s="2" t="inlineStr">
        <is>
          <t>2023-05-02</t>
        </is>
      </c>
      <c r="B50" s="2" t="inlineStr">
        <is>
          <t>20357</t>
        </is>
      </c>
      <c r="C50" s="2" t="inlineStr">
        <is>
          <t>STAT: 91</t>
        </is>
      </c>
      <c r="D50" s="3" t="n">
        <v>12343.07</v>
      </c>
      <c r="E50" s="3" t="n">
        <v>12343.07</v>
      </c>
      <c r="F50" s="3">
        <f>D50-E50</f>
        <v/>
      </c>
      <c r="G50" s="2" t="n">
        <v>3</v>
      </c>
      <c r="H50" s="2" t="inlineStr">
        <is>
          <t>alloc_edges</t>
        </is>
      </c>
    </row>
    <row r="51">
      <c r="A51" s="2" t="inlineStr">
        <is>
          <t>2023-05-31</t>
        </is>
      </c>
      <c r="B51" s="2" t="inlineStr">
        <is>
          <t>21193</t>
        </is>
      </c>
      <c r="C51" s="2" t="inlineStr">
        <is>
          <t>STAT: 91</t>
        </is>
      </c>
      <c r="D51" s="3" t="n">
        <v>15409.46</v>
      </c>
      <c r="E51" s="3" t="n">
        <v>15409.46</v>
      </c>
      <c r="F51" s="3">
        <f>D51-E51</f>
        <v/>
      </c>
      <c r="G51" s="2" t="n">
        <v>4</v>
      </c>
      <c r="H51" s="2" t="inlineStr">
        <is>
          <t>alloc_edges</t>
        </is>
      </c>
    </row>
    <row r="52">
      <c r="A52" s="2" t="inlineStr">
        <is>
          <t>2023-07-21</t>
        </is>
      </c>
      <c r="B52" s="2" t="inlineStr">
        <is>
          <t>22711</t>
        </is>
      </c>
      <c r="C52" s="2" t="inlineStr">
        <is>
          <t>STAT: 93</t>
        </is>
      </c>
      <c r="D52" s="3" t="n">
        <v>15140.69</v>
      </c>
      <c r="E52" s="3" t="n">
        <v>15140.69</v>
      </c>
      <c r="F52" s="3">
        <f>D52-E52</f>
        <v/>
      </c>
      <c r="G52" s="2" t="n">
        <v>4</v>
      </c>
      <c r="H52" s="2" t="inlineStr">
        <is>
          <t>alloc_edges</t>
        </is>
      </c>
    </row>
    <row r="53">
      <c r="A53" s="2" t="inlineStr">
        <is>
          <t>2023-08-11</t>
        </is>
      </c>
      <c r="B53" s="2" t="inlineStr">
        <is>
          <t>23280</t>
        </is>
      </c>
      <c r="C53" s="2" t="inlineStr">
        <is>
          <t>STAT: 94</t>
        </is>
      </c>
      <c r="D53" s="3" t="n">
        <v>13806.77</v>
      </c>
      <c r="E53" s="3" t="n">
        <v>13806.77</v>
      </c>
      <c r="F53" s="3">
        <f>D53-E53</f>
        <v/>
      </c>
      <c r="G53" s="2" t="n">
        <v>4</v>
      </c>
      <c r="H53" s="2" t="inlineStr">
        <is>
          <t>alloc_edges</t>
        </is>
      </c>
    </row>
    <row r="54">
      <c r="A54" s="2" t="inlineStr">
        <is>
          <t>2023-09-05</t>
        </is>
      </c>
      <c r="B54" s="2" t="inlineStr">
        <is>
          <t>23977</t>
        </is>
      </c>
      <c r="C54" s="2" t="inlineStr">
        <is>
          <t>STAT: 95</t>
        </is>
      </c>
      <c r="D54" s="3" t="n">
        <v>16964.84</v>
      </c>
      <c r="E54" s="3" t="n">
        <v>16964.84</v>
      </c>
      <c r="F54" s="3">
        <f>D54-E54</f>
        <v/>
      </c>
      <c r="G54" s="2" t="n">
        <v>5</v>
      </c>
      <c r="H54" s="2" t="inlineStr">
        <is>
          <t>alloc_edges</t>
        </is>
      </c>
    </row>
    <row r="55">
      <c r="A55" s="2" t="inlineStr">
        <is>
          <t>2023-10-24</t>
        </is>
      </c>
      <c r="B55" s="2" t="inlineStr">
        <is>
          <t>25394</t>
        </is>
      </c>
      <c r="C55" s="2" t="inlineStr">
        <is>
          <t>STAT: 96</t>
        </is>
      </c>
      <c r="D55" s="3" t="n">
        <v>13911.54</v>
      </c>
      <c r="E55" s="3" t="n">
        <v>13911.54</v>
      </c>
      <c r="F55" s="3">
        <f>D55-E55</f>
        <v/>
      </c>
      <c r="G55" s="2" t="n">
        <v>5</v>
      </c>
      <c r="H55" s="2" t="inlineStr">
        <is>
          <t>alloc_edges</t>
        </is>
      </c>
    </row>
    <row r="56">
      <c r="A56" s="2" t="inlineStr">
        <is>
          <t>2023-11-29</t>
        </is>
      </c>
      <c r="B56" s="2" t="inlineStr">
        <is>
          <t>26601</t>
        </is>
      </c>
      <c r="C56" s="2" t="inlineStr">
        <is>
          <t>STAT: 97</t>
        </is>
      </c>
      <c r="D56" s="3" t="n">
        <v>12520.81</v>
      </c>
      <c r="E56" s="3" t="n">
        <v>12520.81</v>
      </c>
      <c r="F56" s="3">
        <f>D56-E56</f>
        <v/>
      </c>
      <c r="G56" s="2" t="n">
        <v>4</v>
      </c>
      <c r="H56" s="2" t="inlineStr">
        <is>
          <t>alloc_edges</t>
        </is>
      </c>
    </row>
    <row r="57">
      <c r="A57" s="2" t="inlineStr">
        <is>
          <t>2023-12-29</t>
        </is>
      </c>
      <c r="B57" s="2" t="inlineStr">
        <is>
          <t>27468</t>
        </is>
      </c>
      <c r="C57" s="2" t="inlineStr">
        <is>
          <t>STAT: 98</t>
        </is>
      </c>
      <c r="D57" s="3" t="n">
        <v>24801.28</v>
      </c>
      <c r="E57" s="3" t="n">
        <v>11272.74</v>
      </c>
      <c r="F57" s="3">
        <f>D57-E57</f>
        <v/>
      </c>
      <c r="G57" s="2" t="n">
        <v>5</v>
      </c>
      <c r="H57" s="2" t="inlineStr">
        <is>
          <t>alloc_edges</t>
        </is>
      </c>
    </row>
    <row r="58">
      <c r="A58" s="2" t="inlineStr">
        <is>
          <t>2024-02-20</t>
        </is>
      </c>
      <c r="B58" s="2" t="inlineStr">
        <is>
          <t>28893</t>
        </is>
      </c>
      <c r="C58" s="2" t="inlineStr">
        <is>
          <t>STAT:100</t>
        </is>
      </c>
      <c r="D58" s="3" t="n">
        <v>14208.48</v>
      </c>
      <c r="E58" s="3" t="n">
        <v>11625.12</v>
      </c>
      <c r="F58" s="3">
        <f>D58-E58</f>
        <v/>
      </c>
      <c r="G58" s="2" t="n">
        <v>3</v>
      </c>
      <c r="H58" s="2" t="inlineStr">
        <is>
          <t>alloc_edges</t>
        </is>
      </c>
    </row>
    <row r="59">
      <c r="A59" s="2" t="inlineStr">
        <is>
          <t>2024-04-24</t>
        </is>
      </c>
      <c r="B59" s="2" t="inlineStr">
        <is>
          <t>30269</t>
        </is>
      </c>
      <c r="C59" s="2" t="inlineStr">
        <is>
          <t>STAT:102</t>
        </is>
      </c>
      <c r="D59" s="3" t="n">
        <v>16151.04</v>
      </c>
      <c r="E59" s="3" t="n">
        <v>13528.54</v>
      </c>
      <c r="F59" s="3">
        <f>D59-E59</f>
        <v/>
      </c>
      <c r="G59" s="2" t="n">
        <v>5</v>
      </c>
      <c r="H59" s="2" t="inlineStr">
        <is>
          <t>alloc_edges</t>
        </is>
      </c>
    </row>
    <row r="60">
      <c r="A60" s="2" t="inlineStr">
        <is>
          <t>2024-05-27</t>
        </is>
      </c>
      <c r="B60" s="2" t="inlineStr">
        <is>
          <t>30891</t>
        </is>
      </c>
      <c r="C60" s="2" t="inlineStr">
        <is>
          <t>STAT:103</t>
        </is>
      </c>
      <c r="D60" s="3" t="n">
        <v>11105.31</v>
      </c>
      <c r="E60" s="3" t="n">
        <v>11105.31</v>
      </c>
      <c r="F60" s="3">
        <f>D60-E60</f>
        <v/>
      </c>
      <c r="G60" s="2" t="n">
        <v>4</v>
      </c>
      <c r="H60" s="2" t="inlineStr">
        <is>
          <t>alloc_edges</t>
        </is>
      </c>
    </row>
    <row r="61">
      <c r="A61" s="2" t="inlineStr">
        <is>
          <t>2024-06-10</t>
        </is>
      </c>
      <c r="B61" s="2" t="inlineStr">
        <is>
          <t>31179</t>
        </is>
      </c>
      <c r="C61" s="2" t="inlineStr">
        <is>
          <t>STAT:104</t>
        </is>
      </c>
      <c r="D61" s="3" t="n">
        <v>13862.03</v>
      </c>
      <c r="E61" s="3" t="n">
        <v>13862.03</v>
      </c>
      <c r="F61" s="3">
        <f>D61-E61</f>
        <v/>
      </c>
      <c r="G61" s="2" t="n">
        <v>4</v>
      </c>
      <c r="H61" s="2" t="inlineStr">
        <is>
          <t>alloc_edges</t>
        </is>
      </c>
    </row>
    <row r="62">
      <c r="A62" s="2" t="inlineStr">
        <is>
          <t>2024-07-09</t>
        </is>
      </c>
      <c r="B62" s="2" t="inlineStr">
        <is>
          <t>31792</t>
        </is>
      </c>
      <c r="C62" s="2" t="inlineStr">
        <is>
          <t>STAT:105</t>
        </is>
      </c>
      <c r="D62" s="3" t="n">
        <v>15395.18</v>
      </c>
      <c r="E62" s="3" t="n">
        <v>15395.18</v>
      </c>
      <c r="F62" s="3">
        <f>D62-E62</f>
        <v/>
      </c>
      <c r="G62" s="2" t="n">
        <v>5</v>
      </c>
      <c r="H62" s="2" t="inlineStr">
        <is>
          <t>alloc_edges</t>
        </is>
      </c>
    </row>
    <row r="63">
      <c r="A63" s="11" t="inlineStr">
        <is>
          <t>2024-08-23</t>
        </is>
      </c>
      <c r="B63" s="11" t="inlineStr">
        <is>
          <t>32896</t>
        </is>
      </c>
      <c r="C63" s="11" t="inlineStr">
        <is>
          <t>STAT:106</t>
        </is>
      </c>
      <c r="D63" s="12" t="n">
        <v>17634.86</v>
      </c>
      <c r="E63" s="12" t="n">
        <v>17634.86</v>
      </c>
      <c r="F63" s="12">
        <f>D63-E63</f>
        <v/>
      </c>
      <c r="G63" s="11" t="n">
        <v>4</v>
      </c>
      <c r="H63" s="11" t="inlineStr">
        <is>
          <t>interlock</t>
        </is>
      </c>
    </row>
    <row r="64">
      <c r="A64" s="11" t="inlineStr">
        <is>
          <t>2024-09-30</t>
        </is>
      </c>
      <c r="B64" s="11" t="inlineStr">
        <is>
          <t>33810</t>
        </is>
      </c>
      <c r="C64" s="11" t="inlineStr">
        <is>
          <t>STAT:107</t>
        </is>
      </c>
      <c r="D64" s="12" t="n">
        <v>20232.18</v>
      </c>
      <c r="E64" s="12" t="n">
        <v>20232.18</v>
      </c>
      <c r="F64" s="12">
        <f>D64-E64</f>
        <v/>
      </c>
      <c r="G64" s="11" t="n">
        <v>4</v>
      </c>
      <c r="H64" s="11" t="inlineStr">
        <is>
          <t>ERP screen</t>
        </is>
      </c>
    </row>
    <row r="65">
      <c r="A65" s="11" t="inlineStr">
        <is>
          <t>2024-10-28</t>
        </is>
      </c>
      <c r="B65" s="11" t="inlineStr">
        <is>
          <t>34425</t>
        </is>
      </c>
      <c r="C65" s="11" t="inlineStr">
        <is>
          <t>STAT:108</t>
        </is>
      </c>
      <c r="D65" s="12" t="n">
        <v>20443</v>
      </c>
      <c r="E65" s="12" t="n">
        <v>20443</v>
      </c>
      <c r="F65" s="12">
        <f>D65-E65</f>
        <v/>
      </c>
      <c r="G65" s="11" t="n">
        <v>4</v>
      </c>
      <c r="H65" s="11" t="inlineStr">
        <is>
          <t>ERP screen</t>
        </is>
      </c>
    </row>
    <row r="66">
      <c r="A66" s="11" t="inlineStr">
        <is>
          <t>2024-12-04</t>
        </is>
      </c>
      <c r="B66" s="11" t="inlineStr">
        <is>
          <t>35270</t>
        </is>
      </c>
      <c r="C66" s="11" t="inlineStr">
        <is>
          <t>STAT:110</t>
        </is>
      </c>
      <c r="D66" s="12" t="n">
        <v>18441.12</v>
      </c>
      <c r="E66" s="12" t="n">
        <v>18441.12</v>
      </c>
      <c r="F66" s="12">
        <f>D66-E66</f>
        <v/>
      </c>
      <c r="G66" s="11" t="n">
        <v>5</v>
      </c>
      <c r="H66" s="11" t="inlineStr">
        <is>
          <t>ERP screen</t>
        </is>
      </c>
    </row>
    <row r="67">
      <c r="A67" s="11" t="inlineStr">
        <is>
          <t>2025-01-17</t>
        </is>
      </c>
      <c r="B67" s="11" t="inlineStr">
        <is>
          <t>36139</t>
        </is>
      </c>
      <c r="C67" s="11" t="inlineStr">
        <is>
          <t>STAT:111</t>
        </is>
      </c>
      <c r="D67" s="12" t="n">
        <v>22336.89</v>
      </c>
      <c r="E67" s="12" t="n">
        <v>22336.89</v>
      </c>
      <c r="F67" s="12">
        <f>D67-E67</f>
        <v/>
      </c>
      <c r="G67" s="11" t="n">
        <v>5</v>
      </c>
      <c r="H67" s="11" t="inlineStr">
        <is>
          <t>ERP screen</t>
        </is>
      </c>
    </row>
    <row r="68">
      <c r="A68" s="11" t="inlineStr">
        <is>
          <t>2025-02-21</t>
        </is>
      </c>
      <c r="B68" s="11" t="inlineStr">
        <is>
          <t>36988</t>
        </is>
      </c>
      <c r="C68" s="11" t="inlineStr">
        <is>
          <t>STAT:112</t>
        </is>
      </c>
      <c r="D68" s="12" t="n">
        <v>19550.42</v>
      </c>
      <c r="E68" s="12" t="n">
        <v>19550.42</v>
      </c>
      <c r="F68" s="12">
        <f>D68-E68</f>
        <v/>
      </c>
      <c r="G68" s="11" t="n">
        <v>5</v>
      </c>
      <c r="H68" s="11" t="inlineStr">
        <is>
          <t>ERP screen</t>
        </is>
      </c>
    </row>
    <row r="69">
      <c r="A69" s="2" t="inlineStr">
        <is>
          <t>2025-05-05</t>
        </is>
      </c>
      <c r="B69" s="2" t="inlineStr">
        <is>
          <t>38481</t>
        </is>
      </c>
      <c r="C69" s="2" t="inlineStr">
        <is>
          <t>STAT:115</t>
        </is>
      </c>
      <c r="D69" s="3" t="n">
        <v>15816.63</v>
      </c>
      <c r="E69" s="3" t="n">
        <v>15816.63</v>
      </c>
      <c r="F69" s="3">
        <f>D69-E69</f>
        <v/>
      </c>
      <c r="G69" s="2" t="n">
        <v>4</v>
      </c>
      <c r="H69" s="2" t="inlineStr">
        <is>
          <t>alloc_edges</t>
        </is>
      </c>
    </row>
    <row r="70">
      <c r="A70" s="11" t="inlineStr">
        <is>
          <t>2025-05-22</t>
        </is>
      </c>
      <c r="B70" s="11" t="inlineStr">
        <is>
          <t>38846</t>
        </is>
      </c>
      <c r="C70" s="11" t="inlineStr">
        <is>
          <t>STAT:115</t>
        </is>
      </c>
      <c r="D70" s="12" t="n">
        <v>7337.97</v>
      </c>
      <c r="E70" s="12" t="n">
        <v>7337.97</v>
      </c>
      <c r="F70" s="12">
        <f>D70-E70</f>
        <v/>
      </c>
      <c r="G70" s="11" t="n">
        <v>0</v>
      </c>
      <c r="H70" s="11" t="inlineStr">
        <is>
          <t>proven</t>
        </is>
      </c>
    </row>
    <row r="71">
      <c r="A71" s="11" t="inlineStr">
        <is>
          <t>2025-06-12</t>
        </is>
      </c>
      <c r="B71" s="11" t="inlineStr">
        <is>
          <t>39812</t>
        </is>
      </c>
      <c r="C71" s="11" t="inlineStr">
        <is>
          <t>STAT:116</t>
        </is>
      </c>
      <c r="D71" s="12" t="n">
        <v>20557.69</v>
      </c>
      <c r="E71" s="12" t="n">
        <v>20557.69</v>
      </c>
      <c r="F71" s="12">
        <f>D71-E71</f>
        <v/>
      </c>
      <c r="G71" s="11" t="n">
        <v>0</v>
      </c>
      <c r="H71" s="11" t="inlineStr">
        <is>
          <t>proven</t>
        </is>
      </c>
    </row>
    <row r="72">
      <c r="A72" s="2" t="inlineStr">
        <is>
          <t>2025-07-14</t>
        </is>
      </c>
      <c r="B72" s="2" t="inlineStr">
        <is>
          <t>40063</t>
        </is>
      </c>
      <c r="C72" s="2" t="inlineStr">
        <is>
          <t>STAT:117</t>
        </is>
      </c>
      <c r="D72" s="3" t="n">
        <v>11795.24</v>
      </c>
      <c r="E72" s="3" t="n">
        <v>11795.24</v>
      </c>
      <c r="F72" s="3">
        <f>D72-E72</f>
        <v/>
      </c>
      <c r="G72" s="2" t="n">
        <v>4</v>
      </c>
      <c r="H72" s="2" t="inlineStr">
        <is>
          <t>alloc_edges</t>
        </is>
      </c>
    </row>
    <row r="73">
      <c r="A73" s="2" t="inlineStr">
        <is>
          <t>2025-08-22</t>
        </is>
      </c>
      <c r="B73" s="2" t="inlineStr">
        <is>
          <t>40746</t>
        </is>
      </c>
      <c r="C73" s="2" t="inlineStr">
        <is>
          <t>STAT 117</t>
        </is>
      </c>
      <c r="D73" s="3" t="n">
        <v>14579.44</v>
      </c>
      <c r="E73" s="3" t="n">
        <v>14579.44</v>
      </c>
      <c r="F73" s="3">
        <f>D73-E73</f>
        <v/>
      </c>
      <c r="G73" s="2" t="n">
        <v>4</v>
      </c>
      <c r="H73" s="2" t="inlineStr">
        <is>
          <t>alloc_edges</t>
        </is>
      </c>
    </row>
    <row r="74">
      <c r="A74" s="2" t="inlineStr">
        <is>
          <t>2025-10-14</t>
        </is>
      </c>
      <c r="B74" s="2" t="inlineStr">
        <is>
          <t>41664</t>
        </is>
      </c>
      <c r="C74" s="2" t="inlineStr">
        <is>
          <t>STAT 119</t>
        </is>
      </c>
      <c r="D74" s="3" t="n">
        <v>16601.81</v>
      </c>
      <c r="E74" s="3" t="n">
        <v>16601.81</v>
      </c>
      <c r="F74" s="3">
        <f>D74-E74</f>
        <v/>
      </c>
      <c r="G74" s="2" t="n">
        <v>5</v>
      </c>
      <c r="H74" s="2" t="inlineStr">
        <is>
          <t>alloc_edges</t>
        </is>
      </c>
    </row>
    <row r="75">
      <c r="A75" s="2" t="inlineStr">
        <is>
          <t>2025-11-06</t>
        </is>
      </c>
      <c r="B75" s="2" t="inlineStr">
        <is>
          <t>42134</t>
        </is>
      </c>
      <c r="C75" s="2" t="inlineStr">
        <is>
          <t>STAT 120</t>
        </is>
      </c>
      <c r="D75" s="3" t="n">
        <v>13327.87</v>
      </c>
      <c r="E75" s="3" t="n">
        <v>13327.87</v>
      </c>
      <c r="F75" s="3">
        <f>D75-E75</f>
        <v/>
      </c>
      <c r="G75" s="2" t="n">
        <v>4</v>
      </c>
      <c r="H75" s="2" t="inlineStr">
        <is>
          <t>alloc_edges</t>
        </is>
      </c>
    </row>
    <row r="76">
      <c r="A76" s="2" t="inlineStr">
        <is>
          <t>2025-12-29</t>
        </is>
      </c>
      <c r="B76" s="2" t="inlineStr">
        <is>
          <t>42788</t>
        </is>
      </c>
      <c r="C76" s="2" t="inlineStr">
        <is>
          <t>STAT 121</t>
        </is>
      </c>
      <c r="D76" s="3" t="n">
        <v>13161.86</v>
      </c>
      <c r="E76" s="3" t="n">
        <v>13161.86</v>
      </c>
      <c r="F76" s="3">
        <f>D76-E76</f>
        <v/>
      </c>
      <c r="G76" s="2" t="n">
        <v>4</v>
      </c>
      <c r="H76" s="2" t="inlineStr">
        <is>
          <t>alloc_edges</t>
        </is>
      </c>
    </row>
    <row r="77">
      <c r="A77" s="2" t="inlineStr">
        <is>
          <t>2026-02-05</t>
        </is>
      </c>
      <c r="B77" s="2" t="inlineStr">
        <is>
          <t>43199</t>
        </is>
      </c>
      <c r="C77" s="2" t="inlineStr">
        <is>
          <t>STAT 123</t>
        </is>
      </c>
      <c r="D77" s="3" t="n">
        <v>15578.23</v>
      </c>
      <c r="E77" s="3" t="n">
        <v>15578.23</v>
      </c>
      <c r="F77" s="3">
        <f>D77-E77</f>
        <v/>
      </c>
      <c r="G77" s="2" t="n">
        <v>5</v>
      </c>
      <c r="H77" s="2" t="inlineStr">
        <is>
          <t>alloc_edges</t>
        </is>
      </c>
    </row>
    <row r="78">
      <c r="A78" s="2" t="inlineStr">
        <is>
          <t>2026-06-05</t>
        </is>
      </c>
      <c r="B78" s="2" t="inlineStr">
        <is>
          <t>44555</t>
        </is>
      </c>
      <c r="C78" s="2" t="inlineStr">
        <is>
          <t>STAT 127</t>
        </is>
      </c>
      <c r="D78" s="3" t="n">
        <v>11666.12</v>
      </c>
      <c r="E78" s="3" t="n">
        <v>11666.12</v>
      </c>
      <c r="F78" s="3">
        <f>D78-E78</f>
        <v/>
      </c>
      <c r="G78" s="2" t="n">
        <v>3</v>
      </c>
      <c r="H78" s="2" t="inlineStr">
        <is>
          <t>alloc_edges</t>
        </is>
      </c>
    </row>
    <row r="79">
      <c r="A79" s="4" t="n"/>
      <c r="B79" s="4" t="n"/>
      <c r="C79" s="4" t="inlineStr">
        <is>
          <t>TOTAL</t>
        </is>
      </c>
      <c r="D79" s="5">
        <f>SUM(D2:D78)</f>
        <v/>
      </c>
      <c r="E79" s="5">
        <f>SUM(E2:E78)</f>
        <v/>
      </c>
      <c r="F79" s="5">
        <f>SUM(F2:F78)</f>
        <v/>
      </c>
      <c r="G79" s="4" t="n"/>
      <c r="H7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2026-09-15T14:28:47Z</dcterms:created>
  <dcterms:modified xsi:type="dcterms:W3CDTF">2026-09-15T14:28:47Z</dcterms:modified>
</cp:coreProperties>
</file>